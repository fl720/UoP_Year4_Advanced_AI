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danoI\Desktop\Ivan\Teaching\2025-2026\AAI\Labs\Lab4\"/>
    </mc:Choice>
  </mc:AlternateContent>
  <xr:revisionPtr revIDLastSave="0" documentId="13_ncr:9_{A9DBDE2C-B1D9-4E4C-BC35-D5A9D39D8A0A}" xr6:coauthVersionLast="47" xr6:coauthVersionMax="47" xr10:uidLastSave="{00000000-0000-0000-0000-000000000000}"/>
  <bookViews>
    <workbookView xWindow="1392" yWindow="1470" windowWidth="12126" windowHeight="11826" xr2:uid="{CE0F3CD4-7A15-45A2-A001-1FD86345B5D4}"/>
  </bookViews>
  <sheets>
    <sheet name="Sheet1" sheetId="1" r:id="rId1"/>
    <sheet name="Sheet2" sheetId="2" state="hidden" r:id="rId2"/>
    <sheet name="Sheet3" sheetId="3" state="hidden" r:id="rId3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E14" i="1"/>
  <c r="E13" i="1"/>
  <c r="D14" i="1"/>
  <c r="D13" i="1"/>
  <c r="F15" i="1"/>
  <c r="F12" i="1"/>
  <c r="F11" i="1"/>
  <c r="E15" i="1"/>
  <c r="E12" i="1"/>
  <c r="E11" i="1"/>
  <c r="D15" i="1"/>
  <c r="G15" i="1"/>
  <c r="H15" i="1"/>
  <c r="D12" i="1"/>
  <c r="D11" i="1"/>
  <c r="G11" i="1"/>
  <c r="H11" i="1"/>
  <c r="F10" i="1"/>
  <c r="G10" i="1"/>
  <c r="H10" i="1"/>
  <c r="E10" i="1"/>
  <c r="D10" i="1"/>
  <c r="K10" i="1"/>
  <c r="J10" i="1"/>
  <c r="L10" i="1"/>
  <c r="G12" i="1"/>
  <c r="H12" i="1"/>
  <c r="J12" i="1"/>
  <c r="G13" i="1"/>
  <c r="H13" i="1"/>
  <c r="K13" i="1"/>
  <c r="G14" i="1"/>
  <c r="H14" i="1"/>
  <c r="K14" i="1"/>
  <c r="J11" i="1"/>
  <c r="K11" i="1"/>
  <c r="L11" i="1"/>
  <c r="K15" i="1"/>
  <c r="L15" i="1"/>
  <c r="K12" i="1"/>
  <c r="J13" i="1"/>
  <c r="J15" i="1"/>
  <c r="J16" i="1"/>
  <c r="J17" i="1"/>
  <c r="J18" i="1"/>
  <c r="L13" i="1"/>
  <c r="L12" i="1"/>
  <c r="L14" i="1"/>
  <c r="J14" i="1"/>
  <c r="D27" i="1"/>
  <c r="D26" i="1"/>
  <c r="D25" i="1"/>
  <c r="D22" i="1"/>
  <c r="D23" i="1"/>
  <c r="D24" i="1"/>
  <c r="K16" i="1"/>
  <c r="K17" i="1"/>
  <c r="K18" i="1"/>
  <c r="L16" i="1"/>
  <c r="L17" i="1"/>
  <c r="L18" i="1"/>
  <c r="E26" i="1"/>
  <c r="E23" i="1"/>
  <c r="E24" i="1"/>
  <c r="E22" i="1"/>
  <c r="E27" i="1"/>
  <c r="E25" i="1"/>
  <c r="F22" i="1"/>
  <c r="G22" i="1"/>
  <c r="H22" i="1"/>
  <c r="F25" i="1"/>
  <c r="G25" i="1"/>
  <c r="H25" i="1"/>
  <c r="L25" i="1"/>
  <c r="F24" i="1"/>
  <c r="G24" i="1"/>
  <c r="H24" i="1"/>
  <c r="F23" i="1"/>
  <c r="G23" i="1"/>
  <c r="H23" i="1"/>
  <c r="J23" i="1"/>
  <c r="F26" i="1"/>
  <c r="G26" i="1"/>
  <c r="H26" i="1"/>
  <c r="F27" i="1"/>
  <c r="G27" i="1"/>
  <c r="H27" i="1"/>
  <c r="L27" i="1"/>
  <c r="J27" i="1"/>
  <c r="K27" i="1"/>
  <c r="J25" i="1"/>
  <c r="K23" i="1"/>
  <c r="L23" i="1"/>
  <c r="K26" i="1"/>
  <c r="L26" i="1"/>
  <c r="J26" i="1"/>
  <c r="L24" i="1"/>
  <c r="K24" i="1"/>
  <c r="J24" i="1"/>
  <c r="K25" i="1"/>
  <c r="K22" i="1"/>
  <c r="J22" i="1"/>
  <c r="J28" i="1"/>
  <c r="J29" i="1"/>
  <c r="J30" i="1"/>
  <c r="L22" i="1"/>
  <c r="K28" i="1"/>
  <c r="K29" i="1"/>
  <c r="K30" i="1"/>
  <c r="L28" i="1"/>
  <c r="L29" i="1"/>
  <c r="L30" i="1"/>
  <c r="D36" i="1"/>
  <c r="D39" i="1"/>
  <c r="D37" i="1"/>
  <c r="D34" i="1"/>
  <c r="D38" i="1"/>
  <c r="D35" i="1"/>
  <c r="F34" i="1"/>
  <c r="F39" i="1"/>
  <c r="F37" i="1"/>
  <c r="F36" i="1"/>
  <c r="F38" i="1"/>
  <c r="F35" i="1"/>
  <c r="E35" i="1"/>
  <c r="E34" i="1"/>
  <c r="E36" i="1"/>
  <c r="E37" i="1"/>
  <c r="E39" i="1"/>
  <c r="E38" i="1"/>
  <c r="G38" i="1"/>
  <c r="H38" i="1"/>
  <c r="G39" i="1"/>
  <c r="H39" i="1"/>
  <c r="G35" i="1"/>
  <c r="H35" i="1"/>
  <c r="G34" i="1"/>
  <c r="H34" i="1"/>
  <c r="G37" i="1"/>
  <c r="H37" i="1"/>
  <c r="G36" i="1"/>
  <c r="H36" i="1"/>
  <c r="J36" i="1"/>
  <c r="K36" i="1"/>
  <c r="L36" i="1"/>
  <c r="K34" i="1"/>
  <c r="L34" i="1"/>
  <c r="J34" i="1"/>
  <c r="K39" i="1"/>
  <c r="L39" i="1"/>
  <c r="J39" i="1"/>
  <c r="L37" i="1"/>
  <c r="K37" i="1"/>
  <c r="J37" i="1"/>
  <c r="J35" i="1"/>
  <c r="K35" i="1"/>
  <c r="L35" i="1"/>
  <c r="K38" i="1"/>
  <c r="J38" i="1"/>
  <c r="L38" i="1"/>
  <c r="J40" i="1"/>
  <c r="J41" i="1"/>
  <c r="J42" i="1"/>
  <c r="K40" i="1"/>
  <c r="K41" i="1"/>
  <c r="K42" i="1"/>
  <c r="L40" i="1"/>
  <c r="L41" i="1"/>
  <c r="L42" i="1"/>
  <c r="E48" i="1"/>
  <c r="E49" i="1"/>
  <c r="E51" i="1"/>
  <c r="E47" i="1"/>
  <c r="E50" i="1"/>
  <c r="E46" i="1"/>
  <c r="F48" i="1"/>
  <c r="F46" i="1"/>
  <c r="F50" i="1"/>
  <c r="F51" i="1"/>
  <c r="F49" i="1"/>
  <c r="F47" i="1"/>
  <c r="D50" i="1"/>
  <c r="G50" i="1"/>
  <c r="H50" i="1"/>
  <c r="D49" i="1"/>
  <c r="G49" i="1"/>
  <c r="H49" i="1"/>
  <c r="D48" i="1"/>
  <c r="G48" i="1"/>
  <c r="H48" i="1"/>
  <c r="D47" i="1"/>
  <c r="G47" i="1"/>
  <c r="H47" i="1"/>
  <c r="D46" i="1"/>
  <c r="D51" i="1"/>
  <c r="J50" i="1"/>
  <c r="L50" i="1"/>
  <c r="K50" i="1"/>
  <c r="K47" i="1"/>
  <c r="L47" i="1"/>
  <c r="J47" i="1"/>
  <c r="L49" i="1"/>
  <c r="K49" i="1"/>
  <c r="J49" i="1"/>
  <c r="G51" i="1"/>
  <c r="H51" i="1"/>
  <c r="L48" i="1"/>
  <c r="K48" i="1"/>
  <c r="J48" i="1"/>
  <c r="G46" i="1"/>
  <c r="H46" i="1"/>
  <c r="J51" i="1"/>
  <c r="K51" i="1"/>
  <c r="L51" i="1"/>
  <c r="L46" i="1"/>
  <c r="L52" i="1"/>
  <c r="L53" i="1"/>
  <c r="L54" i="1"/>
  <c r="K46" i="1"/>
  <c r="K52" i="1"/>
  <c r="K53" i="1"/>
  <c r="K54" i="1"/>
  <c r="J46" i="1"/>
  <c r="J52" i="1"/>
  <c r="J53" i="1"/>
  <c r="J54" i="1"/>
  <c r="D63" i="1"/>
  <c r="D59" i="1"/>
  <c r="D60" i="1"/>
  <c r="D61" i="1"/>
  <c r="D58" i="1"/>
  <c r="D62" i="1"/>
  <c r="E61" i="1"/>
  <c r="E63" i="1"/>
  <c r="E62" i="1"/>
  <c r="E60" i="1"/>
  <c r="E59" i="1"/>
  <c r="E58" i="1"/>
  <c r="F60" i="1"/>
  <c r="F61" i="1"/>
  <c r="F63" i="1"/>
  <c r="F59" i="1"/>
  <c r="F58" i="1"/>
  <c r="F62" i="1"/>
  <c r="G62" i="1"/>
  <c r="H62" i="1"/>
  <c r="G61" i="1"/>
  <c r="H61" i="1"/>
  <c r="G59" i="1"/>
  <c r="H59" i="1"/>
  <c r="G58" i="1"/>
  <c r="H58" i="1"/>
  <c r="G60" i="1"/>
  <c r="H60" i="1"/>
  <c r="G63" i="1"/>
  <c r="H63" i="1"/>
  <c r="J63" i="1"/>
  <c r="K63" i="1"/>
  <c r="L63" i="1"/>
  <c r="L58" i="1"/>
  <c r="K58" i="1"/>
  <c r="J58" i="1"/>
  <c r="K61" i="1"/>
  <c r="L61" i="1"/>
  <c r="J61" i="1"/>
  <c r="J60" i="1"/>
  <c r="L60" i="1"/>
  <c r="K60" i="1"/>
  <c r="L59" i="1"/>
  <c r="K59" i="1"/>
  <c r="J59" i="1"/>
  <c r="K62" i="1"/>
  <c r="J62" i="1"/>
  <c r="L62" i="1"/>
  <c r="J64" i="1"/>
  <c r="J65" i="1"/>
  <c r="J66" i="1"/>
  <c r="L64" i="1"/>
  <c r="L65" i="1"/>
  <c r="L66" i="1"/>
  <c r="K64" i="1"/>
  <c r="K65" i="1"/>
  <c r="K66" i="1"/>
  <c r="E72" i="1"/>
  <c r="E75" i="1"/>
  <c r="E74" i="1"/>
  <c r="E73" i="1"/>
  <c r="E70" i="1"/>
  <c r="E71" i="1"/>
  <c r="F71" i="1"/>
  <c r="F73" i="1"/>
  <c r="F70" i="1"/>
  <c r="F74" i="1"/>
  <c r="F75" i="1"/>
  <c r="F72" i="1"/>
  <c r="D71" i="1"/>
  <c r="G71" i="1"/>
  <c r="H71" i="1"/>
  <c r="D70" i="1"/>
  <c r="D75" i="1"/>
  <c r="G75" i="1"/>
  <c r="H75" i="1"/>
  <c r="D73" i="1"/>
  <c r="G73" i="1"/>
  <c r="H73" i="1"/>
  <c r="D72" i="1"/>
  <c r="D74" i="1"/>
  <c r="L73" i="1"/>
  <c r="K73" i="1"/>
  <c r="J73" i="1"/>
  <c r="L71" i="1"/>
  <c r="J71" i="1"/>
  <c r="K71" i="1"/>
  <c r="L75" i="1"/>
  <c r="K75" i="1"/>
  <c r="J75" i="1"/>
  <c r="G70" i="1"/>
  <c r="H70" i="1"/>
  <c r="G74" i="1"/>
  <c r="H74" i="1"/>
  <c r="G72" i="1"/>
  <c r="H72" i="1"/>
  <c r="J74" i="1"/>
  <c r="L74" i="1"/>
  <c r="K74" i="1"/>
  <c r="J70" i="1"/>
  <c r="L70" i="1"/>
  <c r="K70" i="1"/>
  <c r="K72" i="1"/>
  <c r="L72" i="1"/>
  <c r="J72" i="1"/>
  <c r="L76" i="1"/>
  <c r="L77" i="1"/>
  <c r="L78" i="1"/>
  <c r="K76" i="1"/>
  <c r="K77" i="1"/>
  <c r="K78" i="1"/>
  <c r="J76" i="1"/>
  <c r="J77" i="1"/>
  <c r="J78" i="1"/>
  <c r="E84" i="1"/>
  <c r="E85" i="1"/>
  <c r="E82" i="1"/>
  <c r="E83" i="1"/>
  <c r="E86" i="1"/>
  <c r="E87" i="1"/>
  <c r="D85" i="1"/>
  <c r="D86" i="1"/>
  <c r="D84" i="1"/>
  <c r="D83" i="1"/>
  <c r="G83" i="1"/>
  <c r="H83" i="1"/>
  <c r="D82" i="1"/>
  <c r="D87" i="1"/>
  <c r="F84" i="1"/>
  <c r="F85" i="1"/>
  <c r="F86" i="1"/>
  <c r="F87" i="1"/>
  <c r="F83" i="1"/>
  <c r="F82" i="1"/>
  <c r="L83" i="1"/>
  <c r="K83" i="1"/>
  <c r="J83" i="1"/>
  <c r="G84" i="1"/>
  <c r="H84" i="1"/>
  <c r="G85" i="1"/>
  <c r="H85" i="1"/>
  <c r="G87" i="1"/>
  <c r="H87" i="1"/>
  <c r="G82" i="1"/>
  <c r="H82" i="1"/>
  <c r="G86" i="1"/>
  <c r="H86" i="1"/>
  <c r="L82" i="1"/>
  <c r="K82" i="1"/>
  <c r="J82" i="1"/>
  <c r="K87" i="1"/>
  <c r="J87" i="1"/>
  <c r="L87" i="1"/>
  <c r="L85" i="1"/>
  <c r="K85" i="1"/>
  <c r="J85" i="1"/>
  <c r="K86" i="1"/>
  <c r="L86" i="1"/>
  <c r="J86" i="1"/>
  <c r="J84" i="1"/>
  <c r="K84" i="1"/>
  <c r="L84" i="1"/>
  <c r="K88" i="1"/>
  <c r="K89" i="1"/>
  <c r="K90" i="1"/>
  <c r="J88" i="1"/>
  <c r="J89" i="1"/>
  <c r="J90" i="1"/>
  <c r="L88" i="1"/>
  <c r="L89" i="1"/>
  <c r="L90" i="1"/>
</calcChain>
</file>

<file path=xl/sharedStrings.xml><?xml version="1.0" encoding="utf-8"?>
<sst xmlns="http://schemas.openxmlformats.org/spreadsheetml/2006/main" count="158" uniqueCount="39">
  <si>
    <t>X</t>
  </si>
  <si>
    <t>W</t>
  </si>
  <si>
    <t>X.W</t>
  </si>
  <si>
    <t>o(net)</t>
  </si>
  <si>
    <t>t</t>
  </si>
  <si>
    <t>S</t>
  </si>
  <si>
    <t>Because S is not (0,0,0), repeat again starting with S = (0,0,0)</t>
  </si>
  <si>
    <r>
      <t>x</t>
    </r>
    <r>
      <rPr>
        <b/>
        <vertAlign val="subscript"/>
        <sz val="10"/>
        <rFont val="Arial"/>
        <family val="2"/>
      </rPr>
      <t>0</t>
    </r>
  </si>
  <si>
    <r>
      <t>x</t>
    </r>
    <r>
      <rPr>
        <b/>
        <vertAlign val="subscript"/>
        <sz val="10"/>
        <rFont val="Arial"/>
        <family val="2"/>
      </rPr>
      <t>1</t>
    </r>
  </si>
  <si>
    <r>
      <t>x</t>
    </r>
    <r>
      <rPr>
        <b/>
        <vertAlign val="subscript"/>
        <sz val="10"/>
        <rFont val="Arial"/>
        <family val="2"/>
      </rPr>
      <t>2</t>
    </r>
  </si>
  <si>
    <r>
      <t>w</t>
    </r>
    <r>
      <rPr>
        <b/>
        <vertAlign val="subscript"/>
        <sz val="10"/>
        <rFont val="Arial"/>
        <family val="2"/>
      </rPr>
      <t>0</t>
    </r>
  </si>
  <si>
    <r>
      <t>w</t>
    </r>
    <r>
      <rPr>
        <b/>
        <vertAlign val="subscript"/>
        <sz val="10"/>
        <rFont val="Arial"/>
        <family val="2"/>
      </rPr>
      <t>1</t>
    </r>
  </si>
  <si>
    <r>
      <t>w</t>
    </r>
    <r>
      <rPr>
        <b/>
        <vertAlign val="subscript"/>
        <sz val="10"/>
        <rFont val="Arial"/>
        <family val="2"/>
      </rPr>
      <t>2</t>
    </r>
  </si>
  <si>
    <t>(errors)</t>
  </si>
  <si>
    <t>(net)</t>
  </si>
  <si>
    <t>(output)</t>
  </si>
  <si>
    <t>(target)</t>
  </si>
  <si>
    <t>dw     = eta . S    =</t>
  </si>
  <si>
    <r>
      <t>X</t>
    </r>
    <r>
      <rPr>
        <sz val="10"/>
        <rFont val="Arial"/>
        <family val="2"/>
      </rPr>
      <t xml:space="preserve"> - input vector</t>
    </r>
  </si>
  <si>
    <t xml:space="preserve">vertical sum(S)  = </t>
  </si>
  <si>
    <r>
      <t>w</t>
    </r>
    <r>
      <rPr>
        <vertAlign val="subscript"/>
        <sz val="10"/>
        <rFont val="Arial"/>
        <family val="2"/>
      </rPr>
      <t>new</t>
    </r>
    <r>
      <rPr>
        <sz val="10"/>
        <rFont val="Arial"/>
        <family val="2"/>
      </rPr>
      <t xml:space="preserve"> = w</t>
    </r>
    <r>
      <rPr>
        <vertAlign val="subscript"/>
        <sz val="10"/>
        <rFont val="Arial"/>
        <family val="2"/>
      </rPr>
      <t>old</t>
    </r>
    <r>
      <rPr>
        <sz val="10"/>
        <rFont val="Arial"/>
        <family val="2"/>
      </rPr>
      <t xml:space="preserve"> + dw =</t>
    </r>
  </si>
  <si>
    <r>
      <t>Initial weight vector W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 xml:space="preserve"> =</t>
    </r>
  </si>
  <si>
    <t>Two class problem</t>
  </si>
  <si>
    <t xml:space="preserve"> </t>
  </si>
  <si>
    <t>sample1 :</t>
  </si>
  <si>
    <t>sample 2 :</t>
  </si>
  <si>
    <t>samples 3-5:</t>
  </si>
  <si>
    <t>sample 6 :</t>
  </si>
  <si>
    <t>Fixed-Increment Learning Algorithm (FILA) - not converging example</t>
  </si>
  <si>
    <r>
      <t>S</t>
    </r>
    <r>
      <rPr>
        <sz val="10"/>
        <rFont val="Arial"/>
        <family val="2"/>
      </rPr>
      <t xml:space="preserve"> - misclassified/errors vector, (no more than 6 epochs) </t>
    </r>
  </si>
  <si>
    <r>
      <t xml:space="preserve">Learning rate </t>
    </r>
    <r>
      <rPr>
        <b/>
        <i/>
        <sz val="12"/>
        <rFont val="Calibri"/>
        <family val="2"/>
      </rPr>
      <t>η</t>
    </r>
    <r>
      <rPr>
        <sz val="12"/>
        <rFont val="Arial"/>
        <family val="2"/>
      </rPr>
      <t xml:space="preserve"> </t>
    </r>
    <r>
      <rPr>
        <sz val="10"/>
        <rFont val="Arial"/>
        <family val="2"/>
      </rPr>
      <t xml:space="preserve">= </t>
    </r>
  </si>
  <si>
    <r>
      <t xml:space="preserve">End of 2nd </t>
    </r>
    <r>
      <rPr>
        <i/>
        <sz val="10"/>
        <color indexed="10"/>
        <rFont val="Arial"/>
        <family val="2"/>
      </rPr>
      <t>epoch.</t>
    </r>
  </si>
  <si>
    <r>
      <t xml:space="preserve">End of 3rd </t>
    </r>
    <r>
      <rPr>
        <i/>
        <sz val="10"/>
        <color indexed="10"/>
        <rFont val="Arial"/>
        <family val="2"/>
      </rPr>
      <t>epoch.</t>
    </r>
  </si>
  <si>
    <r>
      <t xml:space="preserve">End of  4th </t>
    </r>
    <r>
      <rPr>
        <i/>
        <sz val="10"/>
        <color indexed="10"/>
        <rFont val="Arial"/>
        <family val="2"/>
      </rPr>
      <t>epoch.</t>
    </r>
  </si>
  <si>
    <r>
      <t xml:space="preserve">End of  5th </t>
    </r>
    <r>
      <rPr>
        <i/>
        <sz val="10"/>
        <color indexed="10"/>
        <rFont val="Arial"/>
        <family val="2"/>
      </rPr>
      <t>epoch.</t>
    </r>
  </si>
  <si>
    <r>
      <t xml:space="preserve">End of  6th </t>
    </r>
    <r>
      <rPr>
        <i/>
        <sz val="10"/>
        <color indexed="10"/>
        <rFont val="Arial"/>
        <family val="2"/>
      </rPr>
      <t>epoch.</t>
    </r>
  </si>
  <si>
    <t>Unfortunately, S is still not (0,0,0).</t>
  </si>
  <si>
    <r>
      <t>End of  7th epoch.Stop</t>
    </r>
    <r>
      <rPr>
        <i/>
        <sz val="10"/>
        <color indexed="10"/>
        <rFont val="Arial"/>
        <family val="2"/>
      </rPr>
      <t>.</t>
    </r>
  </si>
  <si>
    <r>
      <t xml:space="preserve">End of 1st </t>
    </r>
    <r>
      <rPr>
        <i/>
        <sz val="10"/>
        <color indexed="10"/>
        <rFont val="Arial"/>
        <family val="2"/>
      </rPr>
      <t>epoch.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</si>
</sst>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charset val="204"/>
    </font>
    <font>
      <sz val="12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i/>
      <sz val="10"/>
      <color indexed="10"/>
      <name val="Arial"/>
      <family val="2"/>
    </font>
    <font>
      <b/>
      <sz val="12"/>
      <name val="Arial"/>
      <family val="2"/>
    </font>
    <font>
      <vertAlign val="subscript"/>
      <sz val="10"/>
      <name val="Arial"/>
      <family val="2"/>
    </font>
    <font>
      <b/>
      <i/>
      <sz val="12"/>
      <name val="Calibri"/>
      <family val="2"/>
    </font>
    <font>
      <sz val="10"/>
      <color rgb="FF0070C0"/>
      <name val="Arial"/>
      <family val="2"/>
    </font>
  </fonts>
  <fills count="10">
    <fill>
      <patternFill patternType="none"/>
    </fill>
    <fill>
      <patternFill patternType="gray125"/>
    </fill>
    <fill>
      <patternFill patternType="gray06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0" xfId="0" applyFont="1"/>
    <xf numFmtId="0" fontId="5" fillId="0" borderId="0" xfId="0" applyFont="1"/>
    <xf numFmtId="0" fontId="5" fillId="3" borderId="0" xfId="0" applyFont="1" applyFill="1"/>
    <xf numFmtId="0" fontId="5" fillId="3" borderId="0" xfId="0" applyFont="1" applyFill="1" applyBorder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5" fillId="0" borderId="0" xfId="0" applyFont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0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 indent="1"/>
    </xf>
    <xf numFmtId="0" fontId="0" fillId="3" borderId="15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 vertical="top"/>
    </xf>
    <xf numFmtId="0" fontId="0" fillId="9" borderId="9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EB7C5-C46E-458B-90D2-27FAF69825EE}">
  <dimension ref="A1:L92"/>
  <sheetViews>
    <sheetView tabSelected="1" topLeftCell="A16" zoomScaleNormal="100" workbookViewId="0">
      <selection activeCell="A20" sqref="A20"/>
    </sheetView>
  </sheetViews>
  <sheetFormatPr defaultRowHeight="12.3" x14ac:dyDescent="0.4"/>
  <cols>
    <col min="1" max="1" width="3.44140625" customWidth="1"/>
    <col min="2" max="2" width="5" customWidth="1"/>
    <col min="3" max="3" width="6.1640625" customWidth="1"/>
    <col min="4" max="4" width="5.5546875" customWidth="1"/>
    <col min="5" max="6" width="5.44140625" customWidth="1"/>
    <col min="7" max="7" width="7.1640625" customWidth="1"/>
    <col min="8" max="8" width="7.71875" customWidth="1"/>
    <col min="9" max="9" width="8" customWidth="1"/>
    <col min="10" max="10" width="11" customWidth="1"/>
    <col min="11" max="11" width="11.27734375" customWidth="1"/>
    <col min="12" max="12" width="12.44140625" customWidth="1"/>
  </cols>
  <sheetData>
    <row r="1" spans="1:12" s="1" customFormat="1" ht="18.75" customHeight="1" x14ac:dyDescent="0.5">
      <c r="B1" s="46" t="s">
        <v>23</v>
      </c>
      <c r="C1" s="1" t="s">
        <v>28</v>
      </c>
      <c r="F1" s="46"/>
    </row>
    <row r="2" spans="1:12" s="1" customFormat="1" ht="14.25" customHeight="1" x14ac:dyDescent="0.5">
      <c r="G2" s="1" t="s">
        <v>22</v>
      </c>
    </row>
    <row r="3" spans="1:12" s="8" customFormat="1" ht="12" customHeight="1" x14ac:dyDescent="0.6">
      <c r="A3" s="8" t="s">
        <v>24</v>
      </c>
      <c r="D3" s="9"/>
      <c r="E3" s="10"/>
      <c r="G3" s="8" t="s">
        <v>21</v>
      </c>
      <c r="J3" s="23">
        <v>-0.1</v>
      </c>
      <c r="K3" s="23">
        <v>1</v>
      </c>
      <c r="L3" s="23">
        <v>-0.4</v>
      </c>
    </row>
    <row r="4" spans="1:12" s="8" customFormat="1" ht="11.2" customHeight="1" x14ac:dyDescent="0.6">
      <c r="A4" s="8" t="s">
        <v>25</v>
      </c>
      <c r="D4" s="11"/>
      <c r="E4" s="11"/>
      <c r="H4" s="8" t="s">
        <v>30</v>
      </c>
      <c r="J4" s="48">
        <v>0.2</v>
      </c>
      <c r="K4" s="47"/>
    </row>
    <row r="5" spans="1:12" s="8" customFormat="1" ht="11.2" customHeight="1" x14ac:dyDescent="0.4">
      <c r="A5" s="8" t="s">
        <v>26</v>
      </c>
      <c r="D5" s="12"/>
      <c r="E5" s="12"/>
      <c r="H5" s="7" t="s">
        <v>18</v>
      </c>
    </row>
    <row r="6" spans="1:12" s="8" customFormat="1" ht="11.2" customHeight="1" x14ac:dyDescent="0.4">
      <c r="A6" s="8" t="s">
        <v>27</v>
      </c>
      <c r="D6" s="13"/>
      <c r="E6" s="13"/>
      <c r="H6" s="7" t="s">
        <v>29</v>
      </c>
    </row>
    <row r="7" spans="1:12" s="1" customFormat="1" ht="8.1999999999999993" customHeight="1" x14ac:dyDescent="0.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s="1" customFormat="1" ht="11.2" customHeight="1" x14ac:dyDescent="0.5">
      <c r="A8" s="14"/>
      <c r="B8" s="15" t="s">
        <v>0</v>
      </c>
      <c r="C8" s="16"/>
      <c r="D8" s="14"/>
      <c r="E8" s="15" t="s">
        <v>1</v>
      </c>
      <c r="F8" s="16"/>
      <c r="G8" s="17" t="s">
        <v>2</v>
      </c>
      <c r="H8" s="17" t="s">
        <v>3</v>
      </c>
      <c r="I8" s="17" t="s">
        <v>4</v>
      </c>
      <c r="J8" s="18"/>
      <c r="K8" s="19" t="s">
        <v>5</v>
      </c>
      <c r="L8" s="20"/>
    </row>
    <row r="9" spans="1:12" ht="11.2" customHeight="1" x14ac:dyDescent="0.6">
      <c r="A9" s="4" t="s">
        <v>7</v>
      </c>
      <c r="B9" s="5" t="s">
        <v>8</v>
      </c>
      <c r="C9" s="6" t="s">
        <v>9</v>
      </c>
      <c r="D9" s="4" t="s">
        <v>10</v>
      </c>
      <c r="E9" s="5" t="s">
        <v>11</v>
      </c>
      <c r="F9" s="6" t="s">
        <v>12</v>
      </c>
      <c r="G9" s="3" t="s">
        <v>14</v>
      </c>
      <c r="H9" s="3" t="s">
        <v>15</v>
      </c>
      <c r="I9" s="3" t="s">
        <v>16</v>
      </c>
      <c r="J9" s="4"/>
      <c r="K9" s="5" t="s">
        <v>13</v>
      </c>
      <c r="L9" s="6"/>
    </row>
    <row r="10" spans="1:12" s="22" customFormat="1" ht="11.2" customHeight="1" x14ac:dyDescent="0.4">
      <c r="A10" s="29">
        <v>1</v>
      </c>
      <c r="B10" s="30">
        <v>0.1</v>
      </c>
      <c r="C10" s="31">
        <v>0.75</v>
      </c>
      <c r="D10" s="55">
        <f>J3</f>
        <v>-0.1</v>
      </c>
      <c r="E10" s="56">
        <f>K3</f>
        <v>1</v>
      </c>
      <c r="F10" s="57">
        <f>L3</f>
        <v>-0.4</v>
      </c>
      <c r="G10" s="41">
        <f t="shared" ref="G10:G15" si="0">A10*D10+B10*E10+C10*F10</f>
        <v>-0.30000000000000004</v>
      </c>
      <c r="H10" s="41">
        <f t="shared" ref="H10:H15" si="1">IF(G10&gt;0,1,0)</f>
        <v>0</v>
      </c>
      <c r="I10" s="41">
        <v>1</v>
      </c>
      <c r="J10" s="49">
        <f t="shared" ref="J10:J15" si="2">IF((I10-H10)&gt;0, A10, IF((I10-H10)&lt;0, -A10, 0))</f>
        <v>1</v>
      </c>
      <c r="K10" s="49">
        <f t="shared" ref="K10:K15" si="3">IF((I10-H10)&gt;0, B10, IF((I10-H10)&lt;0, -B10, 0))</f>
        <v>0.1</v>
      </c>
      <c r="L10" s="49">
        <f t="shared" ref="L10:L15" si="4">IF((I10-H10)&gt;0, C10, IF((I10-H10)&lt;0, -C10, 0))</f>
        <v>0.75</v>
      </c>
    </row>
    <row r="11" spans="1:12" s="21" customFormat="1" ht="11.2" customHeight="1" x14ac:dyDescent="0.4">
      <c r="A11" s="32">
        <v>1</v>
      </c>
      <c r="B11" s="33">
        <v>0.4</v>
      </c>
      <c r="C11" s="34">
        <v>0.6</v>
      </c>
      <c r="D11" s="55">
        <f>J3</f>
        <v>-0.1</v>
      </c>
      <c r="E11" s="56">
        <f>K3</f>
        <v>1</v>
      </c>
      <c r="F11" s="57">
        <f>L3</f>
        <v>-0.4</v>
      </c>
      <c r="G11" s="42">
        <f t="shared" si="0"/>
        <v>6.0000000000000053E-2</v>
      </c>
      <c r="H11" s="42">
        <f t="shared" si="1"/>
        <v>1</v>
      </c>
      <c r="I11" s="42">
        <v>1</v>
      </c>
      <c r="J11" s="50">
        <f t="shared" si="2"/>
        <v>0</v>
      </c>
      <c r="K11" s="50">
        <f t="shared" si="3"/>
        <v>0</v>
      </c>
      <c r="L11" s="50">
        <f t="shared" si="4"/>
        <v>0</v>
      </c>
    </row>
    <row r="12" spans="1:12" s="21" customFormat="1" ht="11.2" customHeight="1" x14ac:dyDescent="0.4">
      <c r="A12" s="35">
        <v>1</v>
      </c>
      <c r="B12" s="36">
        <v>0.75</v>
      </c>
      <c r="C12" s="37">
        <v>0.6</v>
      </c>
      <c r="D12" s="55">
        <f>J3</f>
        <v>-0.1</v>
      </c>
      <c r="E12" s="56">
        <f>K3</f>
        <v>1</v>
      </c>
      <c r="F12" s="57">
        <f>L3</f>
        <v>-0.4</v>
      </c>
      <c r="G12" s="43">
        <f t="shared" si="0"/>
        <v>0.41000000000000003</v>
      </c>
      <c r="H12" s="43">
        <f t="shared" si="1"/>
        <v>1</v>
      </c>
      <c r="I12" s="43">
        <v>0</v>
      </c>
      <c r="J12" s="51">
        <f t="shared" si="2"/>
        <v>-1</v>
      </c>
      <c r="K12" s="51">
        <f t="shared" si="3"/>
        <v>-0.75</v>
      </c>
      <c r="L12" s="51">
        <f t="shared" si="4"/>
        <v>-0.6</v>
      </c>
    </row>
    <row r="13" spans="1:12" s="21" customFormat="1" ht="11.2" customHeight="1" x14ac:dyDescent="0.4">
      <c r="A13" s="35">
        <v>1</v>
      </c>
      <c r="B13" s="36">
        <v>0.15</v>
      </c>
      <c r="C13" s="37">
        <v>0.25</v>
      </c>
      <c r="D13" s="55">
        <f>J3</f>
        <v>-0.1</v>
      </c>
      <c r="E13" s="56">
        <f>K3</f>
        <v>1</v>
      </c>
      <c r="F13" s="57">
        <f>L3</f>
        <v>-0.4</v>
      </c>
      <c r="G13" s="43">
        <f t="shared" si="0"/>
        <v>-5.0000000000000017E-2</v>
      </c>
      <c r="H13" s="43">
        <f t="shared" si="1"/>
        <v>0</v>
      </c>
      <c r="I13" s="43">
        <v>0</v>
      </c>
      <c r="J13" s="51">
        <f t="shared" si="2"/>
        <v>0</v>
      </c>
      <c r="K13" s="51">
        <f t="shared" si="3"/>
        <v>0</v>
      </c>
      <c r="L13" s="51">
        <f t="shared" si="4"/>
        <v>0</v>
      </c>
    </row>
    <row r="14" spans="1:12" s="21" customFormat="1" ht="11.2" customHeight="1" x14ac:dyDescent="0.4">
      <c r="A14" s="35">
        <v>1</v>
      </c>
      <c r="B14" s="36">
        <v>0.2</v>
      </c>
      <c r="C14" s="37">
        <v>0.4</v>
      </c>
      <c r="D14" s="55">
        <f>J3</f>
        <v>-0.1</v>
      </c>
      <c r="E14" s="56">
        <f>K3</f>
        <v>1</v>
      </c>
      <c r="F14" s="57">
        <f>L3</f>
        <v>-0.4</v>
      </c>
      <c r="G14" s="43">
        <f t="shared" si="0"/>
        <v>-6.0000000000000026E-2</v>
      </c>
      <c r="H14" s="43">
        <f t="shared" si="1"/>
        <v>0</v>
      </c>
      <c r="I14" s="43">
        <v>1</v>
      </c>
      <c r="J14" s="51">
        <f t="shared" si="2"/>
        <v>1</v>
      </c>
      <c r="K14" s="51">
        <f t="shared" si="3"/>
        <v>0.2</v>
      </c>
      <c r="L14" s="51">
        <f t="shared" si="4"/>
        <v>0.4</v>
      </c>
    </row>
    <row r="15" spans="1:12" s="21" customFormat="1" ht="11.2" customHeight="1" x14ac:dyDescent="0.4">
      <c r="A15" s="38">
        <v>1</v>
      </c>
      <c r="B15" s="39">
        <v>0.6</v>
      </c>
      <c r="C15" s="40">
        <v>0.35</v>
      </c>
      <c r="D15" s="58">
        <f>J3</f>
        <v>-0.1</v>
      </c>
      <c r="E15" s="59">
        <f>K3</f>
        <v>1</v>
      </c>
      <c r="F15" s="60">
        <f>L3</f>
        <v>-0.4</v>
      </c>
      <c r="G15" s="44">
        <f t="shared" si="0"/>
        <v>0.36</v>
      </c>
      <c r="H15" s="44">
        <f t="shared" si="1"/>
        <v>1</v>
      </c>
      <c r="I15" s="44">
        <v>0</v>
      </c>
      <c r="J15" s="52">
        <f t="shared" si="2"/>
        <v>-1</v>
      </c>
      <c r="K15" s="52">
        <f t="shared" si="3"/>
        <v>-0.6</v>
      </c>
      <c r="L15" s="52">
        <f t="shared" si="4"/>
        <v>-0.35</v>
      </c>
    </row>
    <row r="16" spans="1:12" s="1" customFormat="1" ht="11.2" customHeight="1" x14ac:dyDescent="0.5">
      <c r="A16" s="23"/>
      <c r="B16" s="23"/>
      <c r="C16" s="23"/>
      <c r="D16" s="23"/>
      <c r="E16" s="23"/>
      <c r="F16" s="28"/>
      <c r="G16" s="24"/>
      <c r="H16" s="25" t="s">
        <v>19</v>
      </c>
      <c r="I16" s="26"/>
      <c r="J16" s="53">
        <f>SUM(J10:J15)</f>
        <v>0</v>
      </c>
      <c r="K16" s="53">
        <f>SUM(K10:K15)</f>
        <v>-1.05</v>
      </c>
      <c r="L16" s="53">
        <f>SUM(L10:L15)</f>
        <v>0.20000000000000007</v>
      </c>
    </row>
    <row r="17" spans="1:12" s="1" customFormat="1" ht="11.2" customHeight="1" x14ac:dyDescent="0.5">
      <c r="A17" s="23"/>
      <c r="B17" s="23"/>
      <c r="C17" s="23"/>
      <c r="D17" s="23"/>
      <c r="E17" s="23"/>
      <c r="F17" s="28"/>
      <c r="G17" s="27"/>
      <c r="H17" s="25" t="s">
        <v>17</v>
      </c>
      <c r="I17" s="26"/>
      <c r="J17" s="53">
        <f>J4*J16</f>
        <v>0</v>
      </c>
      <c r="K17" s="53">
        <f>J4*K16</f>
        <v>-0.21000000000000002</v>
      </c>
      <c r="L17" s="53">
        <f>J4*L16</f>
        <v>4.0000000000000015E-2</v>
      </c>
    </row>
    <row r="18" spans="1:12" s="1" customFormat="1" ht="10.5" customHeight="1" x14ac:dyDescent="0.6">
      <c r="A18" s="23"/>
      <c r="B18" s="23"/>
      <c r="C18" s="23"/>
      <c r="D18" s="23"/>
      <c r="E18" s="23"/>
      <c r="F18" s="28"/>
      <c r="G18" s="27"/>
      <c r="H18" s="25" t="s">
        <v>20</v>
      </c>
      <c r="I18" s="26"/>
      <c r="J18" s="54">
        <f>D10+J17</f>
        <v>-0.1</v>
      </c>
      <c r="K18" s="54">
        <f>E10+K17</f>
        <v>0.79</v>
      </c>
      <c r="L18" s="54">
        <f>F10+L17</f>
        <v>-0.36</v>
      </c>
    </row>
    <row r="19" spans="1:12" s="1" customFormat="1" ht="12.75" customHeight="1" x14ac:dyDescent="0.5">
      <c r="A19" s="2" t="s">
        <v>38</v>
      </c>
      <c r="B19" s="8"/>
      <c r="C19" s="8"/>
      <c r="D19" s="8"/>
      <c r="E19" s="45" t="s">
        <v>6</v>
      </c>
      <c r="F19" s="8"/>
      <c r="G19" s="8"/>
      <c r="H19" s="8"/>
      <c r="I19" s="8"/>
      <c r="J19" s="8"/>
      <c r="K19" s="8"/>
      <c r="L19" s="8"/>
    </row>
    <row r="20" spans="1:12" s="1" customFormat="1" ht="11.2" customHeight="1" x14ac:dyDescent="0.5">
      <c r="A20" s="14"/>
      <c r="B20" s="15" t="s">
        <v>0</v>
      </c>
      <c r="C20" s="16"/>
      <c r="D20" s="14"/>
      <c r="E20" s="15" t="s">
        <v>1</v>
      </c>
      <c r="F20" s="16"/>
      <c r="G20" s="17" t="s">
        <v>2</v>
      </c>
      <c r="H20" s="17" t="s">
        <v>3</v>
      </c>
      <c r="I20" s="17" t="s">
        <v>4</v>
      </c>
      <c r="J20" s="18"/>
      <c r="K20" s="19" t="s">
        <v>5</v>
      </c>
      <c r="L20" s="20"/>
    </row>
    <row r="21" spans="1:12" ht="11.2" customHeight="1" x14ac:dyDescent="0.6">
      <c r="A21" s="4" t="s">
        <v>7</v>
      </c>
      <c r="B21" s="5" t="s">
        <v>8</v>
      </c>
      <c r="C21" s="6" t="s">
        <v>9</v>
      </c>
      <c r="D21" s="4" t="s">
        <v>10</v>
      </c>
      <c r="E21" s="5" t="s">
        <v>11</v>
      </c>
      <c r="F21" s="6" t="s">
        <v>12</v>
      </c>
      <c r="G21" s="3" t="s">
        <v>14</v>
      </c>
      <c r="H21" s="3" t="s">
        <v>15</v>
      </c>
      <c r="I21" s="3" t="s">
        <v>16</v>
      </c>
      <c r="J21" s="4"/>
      <c r="K21" s="5" t="s">
        <v>13</v>
      </c>
      <c r="L21" s="6"/>
    </row>
    <row r="22" spans="1:12" s="22" customFormat="1" ht="11.2" customHeight="1" x14ac:dyDescent="0.4">
      <c r="A22" s="29">
        <v>1</v>
      </c>
      <c r="B22" s="30">
        <v>0.1</v>
      </c>
      <c r="C22" s="31">
        <v>0.75</v>
      </c>
      <c r="D22" s="55">
        <f>J18</f>
        <v>-0.1</v>
      </c>
      <c r="E22" s="56">
        <f>K18</f>
        <v>0.79</v>
      </c>
      <c r="F22" s="57">
        <f>L18</f>
        <v>-0.36</v>
      </c>
      <c r="G22" s="41">
        <f t="shared" ref="G22:G27" si="5">A22*D22+B22*E22+C22*F22</f>
        <v>-0.29100000000000004</v>
      </c>
      <c r="H22" s="41">
        <f t="shared" ref="H22:H27" si="6">IF(G22&gt;0,1,0)</f>
        <v>0</v>
      </c>
      <c r="I22" s="41">
        <v>0</v>
      </c>
      <c r="J22" s="49">
        <f t="shared" ref="J22:J27" si="7">IF((I22-H22)&gt;0, A22, IF((I22-H22)&lt;0, -A22, 0))</f>
        <v>0</v>
      </c>
      <c r="K22" s="49">
        <f t="shared" ref="K22:K27" si="8">IF((I22-H22)&gt;0, B22, IF((I22-H22)&lt;0, -B22, 0))</f>
        <v>0</v>
      </c>
      <c r="L22" s="49">
        <f t="shared" ref="L22:L27" si="9">IF((I22-H22)&gt;0, C22, IF((I22-H22)&lt;0, -C22, 0))</f>
        <v>0</v>
      </c>
    </row>
    <row r="23" spans="1:12" s="21" customFormat="1" ht="11.2" customHeight="1" x14ac:dyDescent="0.4">
      <c r="A23" s="32">
        <v>1</v>
      </c>
      <c r="B23" s="33">
        <v>0.4</v>
      </c>
      <c r="C23" s="34">
        <v>0.6</v>
      </c>
      <c r="D23" s="55">
        <f>J18</f>
        <v>-0.1</v>
      </c>
      <c r="E23" s="56">
        <f>K18</f>
        <v>0.79</v>
      </c>
      <c r="F23" s="57">
        <f>L18</f>
        <v>-0.36</v>
      </c>
      <c r="G23" s="42">
        <f t="shared" si="5"/>
        <v>0</v>
      </c>
      <c r="H23" s="42">
        <f t="shared" si="6"/>
        <v>0</v>
      </c>
      <c r="I23" s="42">
        <v>0</v>
      </c>
      <c r="J23" s="50">
        <f t="shared" si="7"/>
        <v>0</v>
      </c>
      <c r="K23" s="50">
        <f t="shared" si="8"/>
        <v>0</v>
      </c>
      <c r="L23" s="50">
        <f t="shared" si="9"/>
        <v>0</v>
      </c>
    </row>
    <row r="24" spans="1:12" s="21" customFormat="1" ht="11.2" customHeight="1" x14ac:dyDescent="0.4">
      <c r="A24" s="35">
        <v>1</v>
      </c>
      <c r="B24" s="36">
        <v>0.75</v>
      </c>
      <c r="C24" s="37">
        <v>0.6</v>
      </c>
      <c r="D24" s="55">
        <f>J18</f>
        <v>-0.1</v>
      </c>
      <c r="E24" s="56">
        <f>K18</f>
        <v>0.79</v>
      </c>
      <c r="F24" s="57">
        <f>L18</f>
        <v>-0.36</v>
      </c>
      <c r="G24" s="43">
        <f t="shared" si="5"/>
        <v>0.27650000000000008</v>
      </c>
      <c r="H24" s="43">
        <f t="shared" si="6"/>
        <v>1</v>
      </c>
      <c r="I24" s="43">
        <v>1</v>
      </c>
      <c r="J24" s="51">
        <f t="shared" si="7"/>
        <v>0</v>
      </c>
      <c r="K24" s="51">
        <f t="shared" si="8"/>
        <v>0</v>
      </c>
      <c r="L24" s="51">
        <f t="shared" si="9"/>
        <v>0</v>
      </c>
    </row>
    <row r="25" spans="1:12" s="21" customFormat="1" ht="11.2" customHeight="1" x14ac:dyDescent="0.4">
      <c r="A25" s="35">
        <v>1</v>
      </c>
      <c r="B25" s="36">
        <v>0.15</v>
      </c>
      <c r="C25" s="37">
        <v>0.25</v>
      </c>
      <c r="D25" s="55">
        <f>J18</f>
        <v>-0.1</v>
      </c>
      <c r="E25" s="56">
        <f>K18</f>
        <v>0.79</v>
      </c>
      <c r="F25" s="57">
        <f>L18</f>
        <v>-0.36</v>
      </c>
      <c r="G25" s="43">
        <f t="shared" si="5"/>
        <v>-7.1500000000000008E-2</v>
      </c>
      <c r="H25" s="43">
        <f t="shared" si="6"/>
        <v>0</v>
      </c>
      <c r="I25" s="43">
        <v>1</v>
      </c>
      <c r="J25" s="51">
        <f t="shared" si="7"/>
        <v>1</v>
      </c>
      <c r="K25" s="51">
        <f t="shared" si="8"/>
        <v>0.15</v>
      </c>
      <c r="L25" s="51">
        <f t="shared" si="9"/>
        <v>0.25</v>
      </c>
    </row>
    <row r="26" spans="1:12" s="21" customFormat="1" ht="11.2" customHeight="1" x14ac:dyDescent="0.4">
      <c r="A26" s="35">
        <v>1</v>
      </c>
      <c r="B26" s="36">
        <v>0.2</v>
      </c>
      <c r="C26" s="37">
        <v>0.4</v>
      </c>
      <c r="D26" s="55">
        <f>J18</f>
        <v>-0.1</v>
      </c>
      <c r="E26" s="56">
        <f>K18</f>
        <v>0.79</v>
      </c>
      <c r="F26" s="57">
        <f>L18</f>
        <v>-0.36</v>
      </c>
      <c r="G26" s="43">
        <f t="shared" si="5"/>
        <v>-8.5999999999999965E-2</v>
      </c>
      <c r="H26" s="43">
        <f t="shared" si="6"/>
        <v>0</v>
      </c>
      <c r="I26" s="43">
        <v>0</v>
      </c>
      <c r="J26" s="51">
        <f t="shared" si="7"/>
        <v>0</v>
      </c>
      <c r="K26" s="51">
        <f t="shared" si="8"/>
        <v>0</v>
      </c>
      <c r="L26" s="51">
        <f t="shared" si="9"/>
        <v>0</v>
      </c>
    </row>
    <row r="27" spans="1:12" s="21" customFormat="1" ht="11.2" customHeight="1" x14ac:dyDescent="0.4">
      <c r="A27" s="38">
        <v>1</v>
      </c>
      <c r="B27" s="39">
        <v>0.6</v>
      </c>
      <c r="C27" s="40">
        <v>0.35</v>
      </c>
      <c r="D27" s="55">
        <f>J18</f>
        <v>-0.1</v>
      </c>
      <c r="E27" s="56">
        <f>K18</f>
        <v>0.79</v>
      </c>
      <c r="F27" s="57">
        <f>L18</f>
        <v>-0.36</v>
      </c>
      <c r="G27" s="44">
        <f t="shared" si="5"/>
        <v>0.248</v>
      </c>
      <c r="H27" s="44">
        <f t="shared" si="6"/>
        <v>1</v>
      </c>
      <c r="I27" s="44">
        <v>1</v>
      </c>
      <c r="J27" s="52">
        <f t="shared" si="7"/>
        <v>0</v>
      </c>
      <c r="K27" s="52">
        <f t="shared" si="8"/>
        <v>0</v>
      </c>
      <c r="L27" s="52">
        <f t="shared" si="9"/>
        <v>0</v>
      </c>
    </row>
    <row r="28" spans="1:12" s="1" customFormat="1" ht="11.2" customHeight="1" x14ac:dyDescent="0.5">
      <c r="A28" s="23"/>
      <c r="B28" s="23"/>
      <c r="C28" s="23"/>
      <c r="D28" s="23"/>
      <c r="E28" s="23"/>
      <c r="F28" s="28"/>
      <c r="G28" s="24"/>
      <c r="H28" s="25" t="s">
        <v>19</v>
      </c>
      <c r="I28" s="26"/>
      <c r="J28" s="53">
        <f>SUM(J22:J27)</f>
        <v>1</v>
      </c>
      <c r="K28" s="53">
        <f>SUM(K22:K27)</f>
        <v>0.15</v>
      </c>
      <c r="L28" s="53">
        <f>SUM(L22:L27)</f>
        <v>0.25</v>
      </c>
    </row>
    <row r="29" spans="1:12" s="1" customFormat="1" ht="11.2" customHeight="1" x14ac:dyDescent="0.5">
      <c r="A29" s="23"/>
      <c r="B29" s="23"/>
      <c r="C29" s="23"/>
      <c r="D29" s="23"/>
      <c r="E29" s="23"/>
      <c r="F29" s="28"/>
      <c r="G29" s="27"/>
      <c r="H29" s="25" t="s">
        <v>17</v>
      </c>
      <c r="I29" s="26"/>
      <c r="J29" s="53">
        <f>J4*J28</f>
        <v>0.2</v>
      </c>
      <c r="K29" s="53">
        <f>J4*K28</f>
        <v>0.03</v>
      </c>
      <c r="L29" s="53">
        <f>J4*L28</f>
        <v>0.05</v>
      </c>
    </row>
    <row r="30" spans="1:12" s="1" customFormat="1" ht="10.5" customHeight="1" x14ac:dyDescent="0.6">
      <c r="A30" s="23"/>
      <c r="B30" s="23"/>
      <c r="C30" s="23"/>
      <c r="D30" s="23"/>
      <c r="E30" s="23"/>
      <c r="F30" s="28"/>
      <c r="G30" s="27"/>
      <c r="H30" s="25" t="s">
        <v>20</v>
      </c>
      <c r="I30" s="26"/>
      <c r="J30" s="54">
        <f>D22+J29</f>
        <v>0.1</v>
      </c>
      <c r="K30" s="54">
        <f>E22+K29</f>
        <v>0.82000000000000006</v>
      </c>
      <c r="L30" s="54">
        <f>F22+L29</f>
        <v>-0.31</v>
      </c>
    </row>
    <row r="31" spans="1:12" s="1" customFormat="1" ht="12.75" customHeight="1" x14ac:dyDescent="0.5">
      <c r="A31" s="2" t="s">
        <v>31</v>
      </c>
      <c r="B31" s="8"/>
      <c r="C31" s="8"/>
      <c r="D31" s="8"/>
      <c r="E31" s="45" t="s">
        <v>6</v>
      </c>
      <c r="F31" s="8"/>
      <c r="G31" s="8"/>
      <c r="H31" s="8"/>
      <c r="I31" s="8"/>
      <c r="J31" s="8"/>
      <c r="K31" s="8"/>
      <c r="L31" s="8"/>
    </row>
    <row r="32" spans="1:12" s="1" customFormat="1" ht="11.2" customHeight="1" x14ac:dyDescent="0.5">
      <c r="A32" s="14"/>
      <c r="B32" s="15" t="s">
        <v>0</v>
      </c>
      <c r="C32" s="16"/>
      <c r="D32" s="14"/>
      <c r="E32" s="15" t="s">
        <v>1</v>
      </c>
      <c r="F32" s="16"/>
      <c r="G32" s="17" t="s">
        <v>2</v>
      </c>
      <c r="H32" s="17" t="s">
        <v>3</v>
      </c>
      <c r="I32" s="17" t="s">
        <v>4</v>
      </c>
      <c r="J32" s="18"/>
      <c r="K32" s="19" t="s">
        <v>5</v>
      </c>
      <c r="L32" s="20"/>
    </row>
    <row r="33" spans="1:12" ht="11.2" customHeight="1" x14ac:dyDescent="0.6">
      <c r="A33" s="4" t="s">
        <v>7</v>
      </c>
      <c r="B33" s="5" t="s">
        <v>8</v>
      </c>
      <c r="C33" s="6" t="s">
        <v>9</v>
      </c>
      <c r="D33" s="4" t="s">
        <v>10</v>
      </c>
      <c r="E33" s="5" t="s">
        <v>11</v>
      </c>
      <c r="F33" s="6" t="s">
        <v>12</v>
      </c>
      <c r="G33" s="3" t="s">
        <v>14</v>
      </c>
      <c r="H33" s="3" t="s">
        <v>15</v>
      </c>
      <c r="I33" s="3" t="s">
        <v>16</v>
      </c>
      <c r="J33" s="4"/>
      <c r="K33" s="5" t="s">
        <v>13</v>
      </c>
      <c r="L33" s="6"/>
    </row>
    <row r="34" spans="1:12" s="22" customFormat="1" ht="11.2" customHeight="1" x14ac:dyDescent="0.4">
      <c r="A34" s="29">
        <v>1</v>
      </c>
      <c r="B34" s="30">
        <v>0.1</v>
      </c>
      <c r="C34" s="31">
        <v>0.75</v>
      </c>
      <c r="D34" s="55">
        <f>J30</f>
        <v>0.1</v>
      </c>
      <c r="E34" s="56">
        <f>K30</f>
        <v>0.82000000000000006</v>
      </c>
      <c r="F34" s="57">
        <f>L30</f>
        <v>-0.31</v>
      </c>
      <c r="G34" s="41">
        <f t="shared" ref="G34:G39" si="10">A34*D34+B34*E34+C34*F34</f>
        <v>-5.0499999999999962E-2</v>
      </c>
      <c r="H34" s="41">
        <f t="shared" ref="H34:H39" si="11">IF(G34&gt;0,1,0)</f>
        <v>0</v>
      </c>
      <c r="I34" s="41">
        <v>0</v>
      </c>
      <c r="J34" s="49">
        <f t="shared" ref="J34:J39" si="12">IF((I34-H34)&gt;0, A34, IF((I34-H34)&lt;0, -A34, 0))</f>
        <v>0</v>
      </c>
      <c r="K34" s="49">
        <f t="shared" ref="K34:K39" si="13">IF((I34-H34)&gt;0, B34, IF((I34-H34)&lt;0, -B34, 0))</f>
        <v>0</v>
      </c>
      <c r="L34" s="49">
        <f t="shared" ref="L34:L39" si="14">IF((I34-H34)&gt;0, C34, IF((I34-H34)&lt;0, -C34, 0))</f>
        <v>0</v>
      </c>
    </row>
    <row r="35" spans="1:12" s="21" customFormat="1" ht="11.2" customHeight="1" x14ac:dyDescent="0.4">
      <c r="A35" s="32">
        <v>1</v>
      </c>
      <c r="B35" s="33">
        <v>0.4</v>
      </c>
      <c r="C35" s="34">
        <v>0.6</v>
      </c>
      <c r="D35" s="55">
        <f>J30</f>
        <v>0.1</v>
      </c>
      <c r="E35" s="56">
        <f>K30</f>
        <v>0.82000000000000006</v>
      </c>
      <c r="F35" s="57">
        <f>L30</f>
        <v>-0.31</v>
      </c>
      <c r="G35" s="42">
        <f t="shared" si="10"/>
        <v>0.24200000000000005</v>
      </c>
      <c r="H35" s="42">
        <f t="shared" si="11"/>
        <v>1</v>
      </c>
      <c r="I35" s="42">
        <v>0</v>
      </c>
      <c r="J35" s="50">
        <f t="shared" si="12"/>
        <v>-1</v>
      </c>
      <c r="K35" s="50">
        <f t="shared" si="13"/>
        <v>-0.4</v>
      </c>
      <c r="L35" s="50">
        <f t="shared" si="14"/>
        <v>-0.6</v>
      </c>
    </row>
    <row r="36" spans="1:12" s="21" customFormat="1" ht="11.2" customHeight="1" x14ac:dyDescent="0.4">
      <c r="A36" s="35">
        <v>1</v>
      </c>
      <c r="B36" s="36">
        <v>0.75</v>
      </c>
      <c r="C36" s="37">
        <v>0.6</v>
      </c>
      <c r="D36" s="55">
        <f>J30</f>
        <v>0.1</v>
      </c>
      <c r="E36" s="56">
        <f>K30</f>
        <v>0.82000000000000006</v>
      </c>
      <c r="F36" s="57">
        <f>L30</f>
        <v>-0.31</v>
      </c>
      <c r="G36" s="43">
        <f t="shared" si="10"/>
        <v>0.52899999999999991</v>
      </c>
      <c r="H36" s="43">
        <f t="shared" si="11"/>
        <v>1</v>
      </c>
      <c r="I36" s="43">
        <v>1</v>
      </c>
      <c r="J36" s="51">
        <f t="shared" si="12"/>
        <v>0</v>
      </c>
      <c r="K36" s="51">
        <f t="shared" si="13"/>
        <v>0</v>
      </c>
      <c r="L36" s="51">
        <f t="shared" si="14"/>
        <v>0</v>
      </c>
    </row>
    <row r="37" spans="1:12" s="21" customFormat="1" ht="11.2" customHeight="1" x14ac:dyDescent="0.4">
      <c r="A37" s="35">
        <v>1</v>
      </c>
      <c r="B37" s="36">
        <v>0.15</v>
      </c>
      <c r="C37" s="37">
        <v>0.25</v>
      </c>
      <c r="D37" s="55">
        <f>J30</f>
        <v>0.1</v>
      </c>
      <c r="E37" s="56">
        <f>K30</f>
        <v>0.82000000000000006</v>
      </c>
      <c r="F37" s="57">
        <f>L30</f>
        <v>-0.31</v>
      </c>
      <c r="G37" s="43">
        <f t="shared" si="10"/>
        <v>0.14550000000000002</v>
      </c>
      <c r="H37" s="43">
        <f t="shared" si="11"/>
        <v>1</v>
      </c>
      <c r="I37" s="43">
        <v>1</v>
      </c>
      <c r="J37" s="51">
        <f t="shared" si="12"/>
        <v>0</v>
      </c>
      <c r="K37" s="51">
        <f t="shared" si="13"/>
        <v>0</v>
      </c>
      <c r="L37" s="51">
        <f t="shared" si="14"/>
        <v>0</v>
      </c>
    </row>
    <row r="38" spans="1:12" s="21" customFormat="1" ht="11.2" customHeight="1" x14ac:dyDescent="0.4">
      <c r="A38" s="35">
        <v>1</v>
      </c>
      <c r="B38" s="36">
        <v>0.2</v>
      </c>
      <c r="C38" s="37">
        <v>0.4</v>
      </c>
      <c r="D38" s="55">
        <f>J30</f>
        <v>0.1</v>
      </c>
      <c r="E38" s="56">
        <f>K30</f>
        <v>0.82000000000000006</v>
      </c>
      <c r="F38" s="57">
        <f>L30</f>
        <v>-0.31</v>
      </c>
      <c r="G38" s="43">
        <f t="shared" si="10"/>
        <v>0.14000000000000001</v>
      </c>
      <c r="H38" s="43">
        <f t="shared" si="11"/>
        <v>1</v>
      </c>
      <c r="I38" s="43">
        <v>0</v>
      </c>
      <c r="J38" s="51">
        <f t="shared" si="12"/>
        <v>-1</v>
      </c>
      <c r="K38" s="51">
        <f t="shared" si="13"/>
        <v>-0.2</v>
      </c>
      <c r="L38" s="51">
        <f t="shared" si="14"/>
        <v>-0.4</v>
      </c>
    </row>
    <row r="39" spans="1:12" s="21" customFormat="1" ht="11.2" customHeight="1" x14ac:dyDescent="0.4">
      <c r="A39" s="38">
        <v>1</v>
      </c>
      <c r="B39" s="39">
        <v>0.6</v>
      </c>
      <c r="C39" s="40">
        <v>0.35</v>
      </c>
      <c r="D39" s="55">
        <f>J30</f>
        <v>0.1</v>
      </c>
      <c r="E39" s="56">
        <f>K30</f>
        <v>0.82000000000000006</v>
      </c>
      <c r="F39" s="57">
        <f>L30</f>
        <v>-0.31</v>
      </c>
      <c r="G39" s="44">
        <f t="shared" si="10"/>
        <v>0.48349999999999999</v>
      </c>
      <c r="H39" s="44">
        <f t="shared" si="11"/>
        <v>1</v>
      </c>
      <c r="I39" s="44">
        <v>1</v>
      </c>
      <c r="J39" s="52">
        <f t="shared" si="12"/>
        <v>0</v>
      </c>
      <c r="K39" s="52">
        <f t="shared" si="13"/>
        <v>0</v>
      </c>
      <c r="L39" s="52">
        <f t="shared" si="14"/>
        <v>0</v>
      </c>
    </row>
    <row r="40" spans="1:12" s="1" customFormat="1" ht="11.2" customHeight="1" x14ac:dyDescent="0.5">
      <c r="A40" s="23"/>
      <c r="B40" s="23"/>
      <c r="C40" s="23"/>
      <c r="D40" s="23"/>
      <c r="E40" s="23"/>
      <c r="F40" s="28"/>
      <c r="G40" s="24"/>
      <c r="H40" s="25" t="s">
        <v>19</v>
      </c>
      <c r="I40" s="26"/>
      <c r="J40" s="53">
        <f>SUM(J34:J39)</f>
        <v>-2</v>
      </c>
      <c r="K40" s="53">
        <f>SUM(K34:K39)</f>
        <v>-0.60000000000000009</v>
      </c>
      <c r="L40" s="53">
        <f>SUM(L34:L39)</f>
        <v>-1</v>
      </c>
    </row>
    <row r="41" spans="1:12" s="1" customFormat="1" ht="11.2" customHeight="1" x14ac:dyDescent="0.5">
      <c r="A41" s="23"/>
      <c r="B41" s="23"/>
      <c r="C41" s="23"/>
      <c r="D41" s="23"/>
      <c r="E41" s="23"/>
      <c r="F41" s="28"/>
      <c r="G41" s="27"/>
      <c r="H41" s="25" t="s">
        <v>17</v>
      </c>
      <c r="I41" s="26"/>
      <c r="J41" s="53">
        <f>J4*J40</f>
        <v>-0.4</v>
      </c>
      <c r="K41" s="53">
        <f>J4*K40</f>
        <v>-0.12000000000000002</v>
      </c>
      <c r="L41" s="53">
        <f>J4*L40</f>
        <v>-0.2</v>
      </c>
    </row>
    <row r="42" spans="1:12" s="1" customFormat="1" ht="10.5" customHeight="1" x14ac:dyDescent="0.6">
      <c r="A42" s="23"/>
      <c r="B42" s="23"/>
      <c r="C42" s="23"/>
      <c r="D42" s="23"/>
      <c r="E42" s="23"/>
      <c r="F42" s="28"/>
      <c r="G42" s="27"/>
      <c r="H42" s="25" t="s">
        <v>20</v>
      </c>
      <c r="I42" s="26"/>
      <c r="J42" s="54">
        <f>D34+J41</f>
        <v>-0.30000000000000004</v>
      </c>
      <c r="K42" s="54">
        <f>E34+K41</f>
        <v>0.70000000000000007</v>
      </c>
      <c r="L42" s="54">
        <f>F34+L41</f>
        <v>-0.51</v>
      </c>
    </row>
    <row r="43" spans="1:12" s="1" customFormat="1" ht="12.75" customHeight="1" x14ac:dyDescent="0.5">
      <c r="A43" s="2" t="s">
        <v>32</v>
      </c>
      <c r="B43" s="8"/>
      <c r="C43" s="8"/>
      <c r="D43" s="8"/>
      <c r="E43" s="45" t="s">
        <v>6</v>
      </c>
      <c r="F43" s="8"/>
      <c r="G43" s="8"/>
      <c r="H43" s="8"/>
      <c r="I43" s="8"/>
      <c r="J43" s="8"/>
      <c r="K43" s="8"/>
      <c r="L43" s="8"/>
    </row>
    <row r="44" spans="1:12" s="1" customFormat="1" ht="11.2" customHeight="1" x14ac:dyDescent="0.5">
      <c r="A44" s="14"/>
      <c r="B44" s="15" t="s">
        <v>0</v>
      </c>
      <c r="C44" s="16"/>
      <c r="D44" s="14"/>
      <c r="E44" s="15" t="s">
        <v>1</v>
      </c>
      <c r="F44" s="16"/>
      <c r="G44" s="17" t="s">
        <v>2</v>
      </c>
      <c r="H44" s="17" t="s">
        <v>3</v>
      </c>
      <c r="I44" s="17" t="s">
        <v>4</v>
      </c>
      <c r="J44" s="18"/>
      <c r="K44" s="19" t="s">
        <v>5</v>
      </c>
      <c r="L44" s="20"/>
    </row>
    <row r="45" spans="1:12" ht="11.2" customHeight="1" x14ac:dyDescent="0.6">
      <c r="A45" s="4" t="s">
        <v>7</v>
      </c>
      <c r="B45" s="5" t="s">
        <v>8</v>
      </c>
      <c r="C45" s="6" t="s">
        <v>9</v>
      </c>
      <c r="D45" s="4" t="s">
        <v>10</v>
      </c>
      <c r="E45" s="5" t="s">
        <v>11</v>
      </c>
      <c r="F45" s="6" t="s">
        <v>12</v>
      </c>
      <c r="G45" s="3" t="s">
        <v>14</v>
      </c>
      <c r="H45" s="3" t="s">
        <v>15</v>
      </c>
      <c r="I45" s="3" t="s">
        <v>16</v>
      </c>
      <c r="J45" s="4"/>
      <c r="K45" s="5" t="s">
        <v>13</v>
      </c>
      <c r="L45" s="6"/>
    </row>
    <row r="46" spans="1:12" s="22" customFormat="1" ht="11.2" customHeight="1" x14ac:dyDescent="0.4">
      <c r="A46" s="29">
        <v>1</v>
      </c>
      <c r="B46" s="30">
        <v>0.1</v>
      </c>
      <c r="C46" s="31">
        <v>0.75</v>
      </c>
      <c r="D46" s="55">
        <f>J42</f>
        <v>-0.30000000000000004</v>
      </c>
      <c r="E46" s="56">
        <f>K42</f>
        <v>0.70000000000000007</v>
      </c>
      <c r="F46" s="57">
        <f>L42</f>
        <v>-0.51</v>
      </c>
      <c r="G46" s="41">
        <f t="shared" ref="G46:G51" si="15">A46*D46+B46*E46+C46*F46</f>
        <v>-0.61250000000000004</v>
      </c>
      <c r="H46" s="41">
        <f t="shared" ref="H46:H51" si="16">IF(G46&gt;0,1,0)</f>
        <v>0</v>
      </c>
      <c r="I46" s="41">
        <v>0</v>
      </c>
      <c r="J46" s="49">
        <f t="shared" ref="J46:J51" si="17">IF((I46-H46)&gt;0, A46, IF((I46-H46)&lt;0, -A46, 0))</f>
        <v>0</v>
      </c>
      <c r="K46" s="49">
        <f t="shared" ref="K46:K51" si="18">IF((I46-H46)&gt;0, B46, IF((I46-H46)&lt;0, -B46, 0))</f>
        <v>0</v>
      </c>
      <c r="L46" s="49">
        <f t="shared" ref="L46:L51" si="19">IF((I46-H46)&gt;0, C46, IF((I46-H46)&lt;0, -C46, 0))</f>
        <v>0</v>
      </c>
    </row>
    <row r="47" spans="1:12" s="21" customFormat="1" ht="11.2" customHeight="1" x14ac:dyDescent="0.4">
      <c r="A47" s="32">
        <v>1</v>
      </c>
      <c r="B47" s="33">
        <v>0.4</v>
      </c>
      <c r="C47" s="34">
        <v>0.6</v>
      </c>
      <c r="D47" s="55">
        <f>J42</f>
        <v>-0.30000000000000004</v>
      </c>
      <c r="E47" s="56">
        <f>K42</f>
        <v>0.70000000000000007</v>
      </c>
      <c r="F47" s="57">
        <f>L42</f>
        <v>-0.51</v>
      </c>
      <c r="G47" s="42">
        <f t="shared" si="15"/>
        <v>-0.32600000000000001</v>
      </c>
      <c r="H47" s="42">
        <f t="shared" si="16"/>
        <v>0</v>
      </c>
      <c r="I47" s="42">
        <v>0</v>
      </c>
      <c r="J47" s="50">
        <f t="shared" si="17"/>
        <v>0</v>
      </c>
      <c r="K47" s="50">
        <f t="shared" si="18"/>
        <v>0</v>
      </c>
      <c r="L47" s="50">
        <f t="shared" si="19"/>
        <v>0</v>
      </c>
    </row>
    <row r="48" spans="1:12" s="21" customFormat="1" ht="11.2" customHeight="1" x14ac:dyDescent="0.4">
      <c r="A48" s="35">
        <v>1</v>
      </c>
      <c r="B48" s="36">
        <v>0.75</v>
      </c>
      <c r="C48" s="37">
        <v>0.6</v>
      </c>
      <c r="D48" s="55">
        <f>J42</f>
        <v>-0.30000000000000004</v>
      </c>
      <c r="E48" s="56">
        <f>K42</f>
        <v>0.70000000000000007</v>
      </c>
      <c r="F48" s="57">
        <f>L42</f>
        <v>-0.51</v>
      </c>
      <c r="G48" s="43">
        <f t="shared" si="15"/>
        <v>-8.1000000000000016E-2</v>
      </c>
      <c r="H48" s="43">
        <f t="shared" si="16"/>
        <v>0</v>
      </c>
      <c r="I48" s="43">
        <v>1</v>
      </c>
      <c r="J48" s="51">
        <f t="shared" si="17"/>
        <v>1</v>
      </c>
      <c r="K48" s="51">
        <f t="shared" si="18"/>
        <v>0.75</v>
      </c>
      <c r="L48" s="51">
        <f t="shared" si="19"/>
        <v>0.6</v>
      </c>
    </row>
    <row r="49" spans="1:12" s="21" customFormat="1" ht="11.2" customHeight="1" x14ac:dyDescent="0.4">
      <c r="A49" s="35">
        <v>1</v>
      </c>
      <c r="B49" s="36">
        <v>0.15</v>
      </c>
      <c r="C49" s="37">
        <v>0.25</v>
      </c>
      <c r="D49" s="55">
        <f>J42</f>
        <v>-0.30000000000000004</v>
      </c>
      <c r="E49" s="56">
        <f>K42</f>
        <v>0.70000000000000007</v>
      </c>
      <c r="F49" s="57">
        <f>L42</f>
        <v>-0.51</v>
      </c>
      <c r="G49" s="43">
        <f t="shared" si="15"/>
        <v>-0.32250000000000001</v>
      </c>
      <c r="H49" s="43">
        <f t="shared" si="16"/>
        <v>0</v>
      </c>
      <c r="I49" s="43">
        <v>1</v>
      </c>
      <c r="J49" s="51">
        <f t="shared" si="17"/>
        <v>1</v>
      </c>
      <c r="K49" s="51">
        <f t="shared" si="18"/>
        <v>0.15</v>
      </c>
      <c r="L49" s="51">
        <f t="shared" si="19"/>
        <v>0.25</v>
      </c>
    </row>
    <row r="50" spans="1:12" s="21" customFormat="1" ht="11.2" customHeight="1" x14ac:dyDescent="0.4">
      <c r="A50" s="35">
        <v>1</v>
      </c>
      <c r="B50" s="36">
        <v>0.2</v>
      </c>
      <c r="C50" s="37">
        <v>0.4</v>
      </c>
      <c r="D50" s="55">
        <f>J42</f>
        <v>-0.30000000000000004</v>
      </c>
      <c r="E50" s="56">
        <f>K42</f>
        <v>0.70000000000000007</v>
      </c>
      <c r="F50" s="57">
        <f>L42</f>
        <v>-0.51</v>
      </c>
      <c r="G50" s="43">
        <f t="shared" si="15"/>
        <v>-0.36400000000000005</v>
      </c>
      <c r="H50" s="43">
        <f t="shared" si="16"/>
        <v>0</v>
      </c>
      <c r="I50" s="43">
        <v>0</v>
      </c>
      <c r="J50" s="51">
        <f t="shared" si="17"/>
        <v>0</v>
      </c>
      <c r="K50" s="51">
        <f t="shared" si="18"/>
        <v>0</v>
      </c>
      <c r="L50" s="51">
        <f t="shared" si="19"/>
        <v>0</v>
      </c>
    </row>
    <row r="51" spans="1:12" s="21" customFormat="1" ht="11.2" customHeight="1" x14ac:dyDescent="0.4">
      <c r="A51" s="38">
        <v>1</v>
      </c>
      <c r="B51" s="39">
        <v>0.6</v>
      </c>
      <c r="C51" s="40">
        <v>0.35</v>
      </c>
      <c r="D51" s="55">
        <f>J42</f>
        <v>-0.30000000000000004</v>
      </c>
      <c r="E51" s="56">
        <f>K42</f>
        <v>0.70000000000000007</v>
      </c>
      <c r="F51" s="57">
        <f>L42</f>
        <v>-0.51</v>
      </c>
      <c r="G51" s="44">
        <f t="shared" si="15"/>
        <v>-5.8499999999999996E-2</v>
      </c>
      <c r="H51" s="44">
        <f t="shared" si="16"/>
        <v>0</v>
      </c>
      <c r="I51" s="44">
        <v>1</v>
      </c>
      <c r="J51" s="52">
        <f t="shared" si="17"/>
        <v>1</v>
      </c>
      <c r="K51" s="52">
        <f t="shared" si="18"/>
        <v>0.6</v>
      </c>
      <c r="L51" s="52">
        <f t="shared" si="19"/>
        <v>0.35</v>
      </c>
    </row>
    <row r="52" spans="1:12" s="1" customFormat="1" ht="11.2" customHeight="1" x14ac:dyDescent="0.5">
      <c r="A52" s="23"/>
      <c r="B52" s="23"/>
      <c r="C52" s="23"/>
      <c r="D52" s="23"/>
      <c r="E52" s="23"/>
      <c r="F52" s="28"/>
      <c r="G52" s="24"/>
      <c r="H52" s="25" t="s">
        <v>19</v>
      </c>
      <c r="I52" s="26"/>
      <c r="J52" s="53">
        <f>SUM(J46:J51)</f>
        <v>3</v>
      </c>
      <c r="K52" s="53">
        <f>SUM(K46:K51)</f>
        <v>1.5</v>
      </c>
      <c r="L52" s="53">
        <f>SUM(L46:L51)</f>
        <v>1.2</v>
      </c>
    </row>
    <row r="53" spans="1:12" s="1" customFormat="1" ht="11.2" customHeight="1" x14ac:dyDescent="0.5">
      <c r="A53" s="23"/>
      <c r="B53" s="23"/>
      <c r="C53" s="23"/>
      <c r="D53" s="23"/>
      <c r="E53" s="23"/>
      <c r="F53" s="28"/>
      <c r="G53" s="27"/>
      <c r="H53" s="25" t="s">
        <v>17</v>
      </c>
      <c r="I53" s="26"/>
      <c r="J53" s="53">
        <f>J4*J52</f>
        <v>0.60000000000000009</v>
      </c>
      <c r="K53" s="53">
        <f>J4*K52</f>
        <v>0.30000000000000004</v>
      </c>
      <c r="L53" s="53">
        <f>J4*L52</f>
        <v>0.24</v>
      </c>
    </row>
    <row r="54" spans="1:12" s="1" customFormat="1" ht="10.5" customHeight="1" x14ac:dyDescent="0.6">
      <c r="A54" s="23"/>
      <c r="B54" s="23"/>
      <c r="C54" s="23"/>
      <c r="D54" s="23"/>
      <c r="E54" s="23"/>
      <c r="F54" s="28"/>
      <c r="G54" s="27"/>
      <c r="H54" s="25" t="s">
        <v>20</v>
      </c>
      <c r="I54" s="26"/>
      <c r="J54" s="54">
        <f>D46+J53</f>
        <v>0.30000000000000004</v>
      </c>
      <c r="K54" s="54">
        <f>E46+K53</f>
        <v>1</v>
      </c>
      <c r="L54" s="54">
        <f>F46+L53</f>
        <v>-0.27</v>
      </c>
    </row>
    <row r="55" spans="1:12" s="1" customFormat="1" ht="12.75" customHeight="1" x14ac:dyDescent="0.5">
      <c r="A55" s="2" t="s">
        <v>33</v>
      </c>
      <c r="B55" s="8"/>
      <c r="C55" s="8"/>
      <c r="D55" s="8"/>
      <c r="E55" s="45" t="s">
        <v>6</v>
      </c>
      <c r="F55" s="8"/>
      <c r="G55" s="8"/>
      <c r="H55" s="8"/>
      <c r="I55" s="8"/>
      <c r="J55" s="8"/>
      <c r="K55" s="8"/>
      <c r="L55" s="8"/>
    </row>
    <row r="56" spans="1:12" s="1" customFormat="1" ht="11.2" customHeight="1" x14ac:dyDescent="0.5">
      <c r="A56" s="14"/>
      <c r="B56" s="15" t="s">
        <v>0</v>
      </c>
      <c r="C56" s="16"/>
      <c r="D56" s="14"/>
      <c r="E56" s="15" t="s">
        <v>1</v>
      </c>
      <c r="F56" s="16"/>
      <c r="G56" s="17" t="s">
        <v>2</v>
      </c>
      <c r="H56" s="17" t="s">
        <v>3</v>
      </c>
      <c r="I56" s="17" t="s">
        <v>4</v>
      </c>
      <c r="J56" s="18"/>
      <c r="K56" s="19" t="s">
        <v>5</v>
      </c>
      <c r="L56" s="20"/>
    </row>
    <row r="57" spans="1:12" ht="11.2" customHeight="1" x14ac:dyDescent="0.6">
      <c r="A57" s="4" t="s">
        <v>7</v>
      </c>
      <c r="B57" s="5" t="s">
        <v>8</v>
      </c>
      <c r="C57" s="6" t="s">
        <v>9</v>
      </c>
      <c r="D57" s="4" t="s">
        <v>10</v>
      </c>
      <c r="E57" s="5" t="s">
        <v>11</v>
      </c>
      <c r="F57" s="6" t="s">
        <v>12</v>
      </c>
      <c r="G57" s="3" t="s">
        <v>14</v>
      </c>
      <c r="H57" s="3" t="s">
        <v>15</v>
      </c>
      <c r="I57" s="3" t="s">
        <v>16</v>
      </c>
      <c r="J57" s="4"/>
      <c r="K57" s="5" t="s">
        <v>13</v>
      </c>
      <c r="L57" s="6"/>
    </row>
    <row r="58" spans="1:12" s="22" customFormat="1" ht="11.2" customHeight="1" x14ac:dyDescent="0.4">
      <c r="A58" s="29">
        <v>1</v>
      </c>
      <c r="B58" s="30">
        <v>0.1</v>
      </c>
      <c r="C58" s="31">
        <v>0.75</v>
      </c>
      <c r="D58" s="55">
        <f>J54</f>
        <v>0.30000000000000004</v>
      </c>
      <c r="E58" s="56">
        <f>K54</f>
        <v>1</v>
      </c>
      <c r="F58" s="57">
        <f>L54</f>
        <v>-0.27</v>
      </c>
      <c r="G58" s="41">
        <f t="shared" ref="G58:G63" si="20">A58*D58+B58*E58+C58*F58</f>
        <v>0.19750000000000001</v>
      </c>
      <c r="H58" s="41">
        <f t="shared" ref="H58:H63" si="21">IF(G58&gt;0,1,0)</f>
        <v>1</v>
      </c>
      <c r="I58" s="41">
        <v>0</v>
      </c>
      <c r="J58" s="49">
        <f t="shared" ref="J58:J63" si="22">IF((I58-H58)&gt;0, A58, IF((I58-H58)&lt;0, -A58, 0))</f>
        <v>-1</v>
      </c>
      <c r="K58" s="49">
        <f t="shared" ref="K58:K63" si="23">IF((I58-H58)&gt;0, B58, IF((I58-H58)&lt;0, -B58, 0))</f>
        <v>-0.1</v>
      </c>
      <c r="L58" s="49">
        <f t="shared" ref="L58:L63" si="24">IF((I58-H58)&gt;0, C58, IF((I58-H58)&lt;0, -C58, 0))</f>
        <v>-0.75</v>
      </c>
    </row>
    <row r="59" spans="1:12" s="21" customFormat="1" ht="11.2" customHeight="1" x14ac:dyDescent="0.4">
      <c r="A59" s="32">
        <v>1</v>
      </c>
      <c r="B59" s="33">
        <v>0.4</v>
      </c>
      <c r="C59" s="34">
        <v>0.6</v>
      </c>
      <c r="D59" s="55">
        <f>J54</f>
        <v>0.30000000000000004</v>
      </c>
      <c r="E59" s="56">
        <f>K54</f>
        <v>1</v>
      </c>
      <c r="F59" s="57">
        <f>L54</f>
        <v>-0.27</v>
      </c>
      <c r="G59" s="42">
        <f t="shared" si="20"/>
        <v>0.53800000000000003</v>
      </c>
      <c r="H59" s="42">
        <f t="shared" si="21"/>
        <v>1</v>
      </c>
      <c r="I59" s="42">
        <v>0</v>
      </c>
      <c r="J59" s="50">
        <f t="shared" si="22"/>
        <v>-1</v>
      </c>
      <c r="K59" s="50">
        <f t="shared" si="23"/>
        <v>-0.4</v>
      </c>
      <c r="L59" s="50">
        <f t="shared" si="24"/>
        <v>-0.6</v>
      </c>
    </row>
    <row r="60" spans="1:12" s="21" customFormat="1" ht="11.2" customHeight="1" x14ac:dyDescent="0.4">
      <c r="A60" s="35">
        <v>1</v>
      </c>
      <c r="B60" s="36">
        <v>0.75</v>
      </c>
      <c r="C60" s="37">
        <v>0.6</v>
      </c>
      <c r="D60" s="55">
        <f>J54</f>
        <v>0.30000000000000004</v>
      </c>
      <c r="E60" s="56">
        <f>K54</f>
        <v>1</v>
      </c>
      <c r="F60" s="57">
        <f>L54</f>
        <v>-0.27</v>
      </c>
      <c r="G60" s="43">
        <f t="shared" si="20"/>
        <v>0.88800000000000001</v>
      </c>
      <c r="H60" s="43">
        <f t="shared" si="21"/>
        <v>1</v>
      </c>
      <c r="I60" s="43">
        <v>1</v>
      </c>
      <c r="J60" s="51">
        <f t="shared" si="22"/>
        <v>0</v>
      </c>
      <c r="K60" s="51">
        <f t="shared" si="23"/>
        <v>0</v>
      </c>
      <c r="L60" s="51">
        <f t="shared" si="24"/>
        <v>0</v>
      </c>
    </row>
    <row r="61" spans="1:12" s="21" customFormat="1" ht="11.2" customHeight="1" x14ac:dyDescent="0.4">
      <c r="A61" s="35">
        <v>1</v>
      </c>
      <c r="B61" s="36">
        <v>0.15</v>
      </c>
      <c r="C61" s="37">
        <v>0.25</v>
      </c>
      <c r="D61" s="55">
        <f>J54</f>
        <v>0.30000000000000004</v>
      </c>
      <c r="E61" s="56">
        <f>K54</f>
        <v>1</v>
      </c>
      <c r="F61" s="57">
        <f>L54</f>
        <v>-0.27</v>
      </c>
      <c r="G61" s="43">
        <f t="shared" si="20"/>
        <v>0.38250000000000006</v>
      </c>
      <c r="H61" s="43">
        <f t="shared" si="21"/>
        <v>1</v>
      </c>
      <c r="I61" s="43">
        <v>1</v>
      </c>
      <c r="J61" s="51">
        <f t="shared" si="22"/>
        <v>0</v>
      </c>
      <c r="K61" s="51">
        <f t="shared" si="23"/>
        <v>0</v>
      </c>
      <c r="L61" s="51">
        <f t="shared" si="24"/>
        <v>0</v>
      </c>
    </row>
    <row r="62" spans="1:12" s="21" customFormat="1" ht="11.2" customHeight="1" x14ac:dyDescent="0.4">
      <c r="A62" s="35">
        <v>1</v>
      </c>
      <c r="B62" s="36">
        <v>0.2</v>
      </c>
      <c r="C62" s="37">
        <v>0.4</v>
      </c>
      <c r="D62" s="55">
        <f>J54</f>
        <v>0.30000000000000004</v>
      </c>
      <c r="E62" s="56">
        <f>K54</f>
        <v>1</v>
      </c>
      <c r="F62" s="57">
        <f>L54</f>
        <v>-0.27</v>
      </c>
      <c r="G62" s="43">
        <f t="shared" si="20"/>
        <v>0.39200000000000002</v>
      </c>
      <c r="H62" s="43">
        <f t="shared" si="21"/>
        <v>1</v>
      </c>
      <c r="I62" s="43">
        <v>0</v>
      </c>
      <c r="J62" s="51">
        <f t="shared" si="22"/>
        <v>-1</v>
      </c>
      <c r="K62" s="51">
        <f t="shared" si="23"/>
        <v>-0.2</v>
      </c>
      <c r="L62" s="51">
        <f t="shared" si="24"/>
        <v>-0.4</v>
      </c>
    </row>
    <row r="63" spans="1:12" s="21" customFormat="1" ht="11.2" customHeight="1" x14ac:dyDescent="0.4">
      <c r="A63" s="38">
        <v>1</v>
      </c>
      <c r="B63" s="39">
        <v>0.6</v>
      </c>
      <c r="C63" s="40">
        <v>0.35</v>
      </c>
      <c r="D63" s="55">
        <f>J54</f>
        <v>0.30000000000000004</v>
      </c>
      <c r="E63" s="56">
        <f>K54</f>
        <v>1</v>
      </c>
      <c r="F63" s="57">
        <f>L54</f>
        <v>-0.27</v>
      </c>
      <c r="G63" s="44">
        <f t="shared" si="20"/>
        <v>0.80549999999999999</v>
      </c>
      <c r="H63" s="44">
        <f t="shared" si="21"/>
        <v>1</v>
      </c>
      <c r="I63" s="44">
        <v>1</v>
      </c>
      <c r="J63" s="52">
        <f t="shared" si="22"/>
        <v>0</v>
      </c>
      <c r="K63" s="52">
        <f t="shared" si="23"/>
        <v>0</v>
      </c>
      <c r="L63" s="52">
        <f t="shared" si="24"/>
        <v>0</v>
      </c>
    </row>
    <row r="64" spans="1:12" s="1" customFormat="1" ht="11.2" customHeight="1" x14ac:dyDescent="0.5">
      <c r="A64" s="23"/>
      <c r="B64" s="23"/>
      <c r="C64" s="23"/>
      <c r="D64" s="23"/>
      <c r="E64" s="23"/>
      <c r="F64" s="28"/>
      <c r="G64" s="24"/>
      <c r="H64" s="25" t="s">
        <v>19</v>
      </c>
      <c r="I64" s="26"/>
      <c r="J64" s="53">
        <f>SUM(J58:J63)</f>
        <v>-3</v>
      </c>
      <c r="K64" s="53">
        <f>SUM(K58:K63)</f>
        <v>-0.7</v>
      </c>
      <c r="L64" s="53">
        <f>SUM(L58:L63)</f>
        <v>-1.75</v>
      </c>
    </row>
    <row r="65" spans="1:12" s="1" customFormat="1" ht="11.2" customHeight="1" x14ac:dyDescent="0.5">
      <c r="A65" s="23"/>
      <c r="B65" s="23"/>
      <c r="C65" s="23"/>
      <c r="D65" s="23"/>
      <c r="E65" s="23"/>
      <c r="F65" s="28"/>
      <c r="G65" s="27"/>
      <c r="H65" s="25" t="s">
        <v>17</v>
      </c>
      <c r="I65" s="26"/>
      <c r="J65" s="53">
        <f>J4*J64</f>
        <v>-0.60000000000000009</v>
      </c>
      <c r="K65" s="53">
        <f>J4*K64</f>
        <v>-0.13999999999999999</v>
      </c>
      <c r="L65" s="53">
        <f>J4*L64</f>
        <v>-0.35000000000000003</v>
      </c>
    </row>
    <row r="66" spans="1:12" s="1" customFormat="1" ht="10.5" customHeight="1" x14ac:dyDescent="0.6">
      <c r="A66" s="23"/>
      <c r="B66" s="23"/>
      <c r="C66" s="23"/>
      <c r="D66" s="23"/>
      <c r="E66" s="23"/>
      <c r="F66" s="28"/>
      <c r="G66" s="27"/>
      <c r="H66" s="25" t="s">
        <v>20</v>
      </c>
      <c r="I66" s="26"/>
      <c r="J66" s="54">
        <f>D58+J65</f>
        <v>-0.30000000000000004</v>
      </c>
      <c r="K66" s="54">
        <f>E58+K65</f>
        <v>0.86</v>
      </c>
      <c r="L66" s="54">
        <f>F58+L65</f>
        <v>-0.62000000000000011</v>
      </c>
    </row>
    <row r="67" spans="1:12" s="1" customFormat="1" ht="12.75" customHeight="1" x14ac:dyDescent="0.5">
      <c r="A67" s="2" t="s">
        <v>34</v>
      </c>
      <c r="B67" s="8"/>
      <c r="C67" s="8"/>
      <c r="D67" s="8"/>
      <c r="E67" s="45" t="s">
        <v>6</v>
      </c>
      <c r="F67" s="8"/>
      <c r="G67" s="8"/>
      <c r="H67" s="8"/>
      <c r="I67" s="8"/>
      <c r="J67" s="8"/>
      <c r="K67" s="8"/>
      <c r="L67" s="8"/>
    </row>
    <row r="68" spans="1:12" s="1" customFormat="1" ht="11.2" customHeight="1" x14ac:dyDescent="0.5">
      <c r="A68" s="14"/>
      <c r="B68" s="15" t="s">
        <v>0</v>
      </c>
      <c r="C68" s="16"/>
      <c r="D68" s="14"/>
      <c r="E68" s="15" t="s">
        <v>1</v>
      </c>
      <c r="F68" s="16"/>
      <c r="G68" s="17" t="s">
        <v>2</v>
      </c>
      <c r="H68" s="17" t="s">
        <v>3</v>
      </c>
      <c r="I68" s="17" t="s">
        <v>4</v>
      </c>
      <c r="J68" s="18"/>
      <c r="K68" s="19" t="s">
        <v>5</v>
      </c>
      <c r="L68" s="20"/>
    </row>
    <row r="69" spans="1:12" ht="11.2" customHeight="1" x14ac:dyDescent="0.6">
      <c r="A69" s="4" t="s">
        <v>7</v>
      </c>
      <c r="B69" s="5" t="s">
        <v>8</v>
      </c>
      <c r="C69" s="6" t="s">
        <v>9</v>
      </c>
      <c r="D69" s="4" t="s">
        <v>10</v>
      </c>
      <c r="E69" s="5" t="s">
        <v>11</v>
      </c>
      <c r="F69" s="6" t="s">
        <v>12</v>
      </c>
      <c r="G69" s="3" t="s">
        <v>14</v>
      </c>
      <c r="H69" s="3" t="s">
        <v>15</v>
      </c>
      <c r="I69" s="3" t="s">
        <v>16</v>
      </c>
      <c r="J69" s="4"/>
      <c r="K69" s="5" t="s">
        <v>13</v>
      </c>
      <c r="L69" s="6"/>
    </row>
    <row r="70" spans="1:12" s="22" customFormat="1" ht="11.2" customHeight="1" x14ac:dyDescent="0.4">
      <c r="A70" s="29">
        <v>1</v>
      </c>
      <c r="B70" s="30">
        <v>0.1</v>
      </c>
      <c r="C70" s="31">
        <v>0.75</v>
      </c>
      <c r="D70" s="55">
        <f>J66</f>
        <v>-0.30000000000000004</v>
      </c>
      <c r="E70" s="56">
        <f>K66</f>
        <v>0.86</v>
      </c>
      <c r="F70" s="57">
        <f>L66</f>
        <v>-0.62000000000000011</v>
      </c>
      <c r="G70" s="41">
        <f t="shared" ref="G70:G75" si="25">A70*D70+B70*E70+C70*F70</f>
        <v>-0.67900000000000005</v>
      </c>
      <c r="H70" s="41">
        <f t="shared" ref="H70:H75" si="26">IF(G70&gt;0,1,0)</f>
        <v>0</v>
      </c>
      <c r="I70" s="41">
        <v>0</v>
      </c>
      <c r="J70" s="49">
        <f t="shared" ref="J70:J75" si="27">IF((I70-H70)&gt;0, A70, IF((I70-H70)&lt;0, -A70, 0))</f>
        <v>0</v>
      </c>
      <c r="K70" s="49">
        <f t="shared" ref="K70:K75" si="28">IF((I70-H70)&gt;0, B70, IF((I70-H70)&lt;0, -B70, 0))</f>
        <v>0</v>
      </c>
      <c r="L70" s="49">
        <f t="shared" ref="L70:L75" si="29">IF((I70-H70)&gt;0, C70, IF((I70-H70)&lt;0, -C70, 0))</f>
        <v>0</v>
      </c>
    </row>
    <row r="71" spans="1:12" s="21" customFormat="1" ht="11.2" customHeight="1" x14ac:dyDescent="0.4">
      <c r="A71" s="32">
        <v>1</v>
      </c>
      <c r="B71" s="33">
        <v>0.4</v>
      </c>
      <c r="C71" s="34">
        <v>0.6</v>
      </c>
      <c r="D71" s="55">
        <f>J66</f>
        <v>-0.30000000000000004</v>
      </c>
      <c r="E71" s="56">
        <f>K66</f>
        <v>0.86</v>
      </c>
      <c r="F71" s="57">
        <f>L66</f>
        <v>-0.62000000000000011</v>
      </c>
      <c r="G71" s="42">
        <f t="shared" si="25"/>
        <v>-0.32800000000000007</v>
      </c>
      <c r="H71" s="42">
        <f t="shared" si="26"/>
        <v>0</v>
      </c>
      <c r="I71" s="42">
        <v>0</v>
      </c>
      <c r="J71" s="50">
        <f t="shared" si="27"/>
        <v>0</v>
      </c>
      <c r="K71" s="50">
        <f t="shared" si="28"/>
        <v>0</v>
      </c>
      <c r="L71" s="50">
        <f t="shared" si="29"/>
        <v>0</v>
      </c>
    </row>
    <row r="72" spans="1:12" s="21" customFormat="1" ht="11.2" customHeight="1" x14ac:dyDescent="0.4">
      <c r="A72" s="35">
        <v>1</v>
      </c>
      <c r="B72" s="36">
        <v>0.75</v>
      </c>
      <c r="C72" s="37">
        <v>0.6</v>
      </c>
      <c r="D72" s="55">
        <f>J66</f>
        <v>-0.30000000000000004</v>
      </c>
      <c r="E72" s="56">
        <f>K66</f>
        <v>0.86</v>
      </c>
      <c r="F72" s="57">
        <f>L66</f>
        <v>-0.62000000000000011</v>
      </c>
      <c r="G72" s="43">
        <f t="shared" si="25"/>
        <v>-2.7000000000000079E-2</v>
      </c>
      <c r="H72" s="43">
        <f t="shared" si="26"/>
        <v>0</v>
      </c>
      <c r="I72" s="43">
        <v>1</v>
      </c>
      <c r="J72" s="51">
        <f t="shared" si="27"/>
        <v>1</v>
      </c>
      <c r="K72" s="51">
        <f t="shared" si="28"/>
        <v>0.75</v>
      </c>
      <c r="L72" s="51">
        <f t="shared" si="29"/>
        <v>0.6</v>
      </c>
    </row>
    <row r="73" spans="1:12" s="21" customFormat="1" ht="11.2" customHeight="1" x14ac:dyDescent="0.4">
      <c r="A73" s="35">
        <v>1</v>
      </c>
      <c r="B73" s="36">
        <v>0.15</v>
      </c>
      <c r="C73" s="37">
        <v>0.25</v>
      </c>
      <c r="D73" s="55">
        <f>J66</f>
        <v>-0.30000000000000004</v>
      </c>
      <c r="E73" s="56">
        <f>K66</f>
        <v>0.86</v>
      </c>
      <c r="F73" s="57">
        <f>L66</f>
        <v>-0.62000000000000011</v>
      </c>
      <c r="G73" s="43">
        <f t="shared" si="25"/>
        <v>-0.32600000000000007</v>
      </c>
      <c r="H73" s="43">
        <f t="shared" si="26"/>
        <v>0</v>
      </c>
      <c r="I73" s="43">
        <v>1</v>
      </c>
      <c r="J73" s="51">
        <f t="shared" si="27"/>
        <v>1</v>
      </c>
      <c r="K73" s="51">
        <f t="shared" si="28"/>
        <v>0.15</v>
      </c>
      <c r="L73" s="51">
        <f t="shared" si="29"/>
        <v>0.25</v>
      </c>
    </row>
    <row r="74" spans="1:12" s="21" customFormat="1" ht="11.2" customHeight="1" x14ac:dyDescent="0.4">
      <c r="A74" s="35">
        <v>1</v>
      </c>
      <c r="B74" s="36">
        <v>0.2</v>
      </c>
      <c r="C74" s="37">
        <v>0.4</v>
      </c>
      <c r="D74" s="55">
        <f>J66</f>
        <v>-0.30000000000000004</v>
      </c>
      <c r="E74" s="56">
        <f>K66</f>
        <v>0.86</v>
      </c>
      <c r="F74" s="57">
        <f>L66</f>
        <v>-0.62000000000000011</v>
      </c>
      <c r="G74" s="43">
        <f t="shared" si="25"/>
        <v>-0.37600000000000011</v>
      </c>
      <c r="H74" s="43">
        <f t="shared" si="26"/>
        <v>0</v>
      </c>
      <c r="I74" s="43">
        <v>0</v>
      </c>
      <c r="J74" s="51">
        <f t="shared" si="27"/>
        <v>0</v>
      </c>
      <c r="K74" s="51">
        <f t="shared" si="28"/>
        <v>0</v>
      </c>
      <c r="L74" s="51">
        <f t="shared" si="29"/>
        <v>0</v>
      </c>
    </row>
    <row r="75" spans="1:12" s="21" customFormat="1" ht="11.2" customHeight="1" x14ac:dyDescent="0.4">
      <c r="A75" s="38">
        <v>1</v>
      </c>
      <c r="B75" s="39">
        <v>0.6</v>
      </c>
      <c r="C75" s="40">
        <v>0.35</v>
      </c>
      <c r="D75" s="55">
        <f>J66</f>
        <v>-0.30000000000000004</v>
      </c>
      <c r="E75" s="56">
        <f>K66</f>
        <v>0.86</v>
      </c>
      <c r="F75" s="57">
        <f>L66</f>
        <v>-0.62000000000000011</v>
      </c>
      <c r="G75" s="44">
        <f t="shared" si="25"/>
        <v>-1.0000000000000564E-3</v>
      </c>
      <c r="H75" s="44">
        <f t="shared" si="26"/>
        <v>0</v>
      </c>
      <c r="I75" s="44">
        <v>1</v>
      </c>
      <c r="J75" s="52">
        <f t="shared" si="27"/>
        <v>1</v>
      </c>
      <c r="K75" s="52">
        <f t="shared" si="28"/>
        <v>0.6</v>
      </c>
      <c r="L75" s="52">
        <f t="shared" si="29"/>
        <v>0.35</v>
      </c>
    </row>
    <row r="76" spans="1:12" s="1" customFormat="1" ht="11.2" customHeight="1" x14ac:dyDescent="0.5">
      <c r="A76" s="23"/>
      <c r="B76" s="23"/>
      <c r="C76" s="23"/>
      <c r="D76" s="23"/>
      <c r="E76" s="23"/>
      <c r="F76" s="28"/>
      <c r="G76" s="24"/>
      <c r="H76" s="25" t="s">
        <v>19</v>
      </c>
      <c r="I76" s="26"/>
      <c r="J76" s="53">
        <f>SUM(J70:J75)</f>
        <v>3</v>
      </c>
      <c r="K76" s="53">
        <f>SUM(K70:K75)</f>
        <v>1.5</v>
      </c>
      <c r="L76" s="53">
        <f>SUM(L70:L75)</f>
        <v>1.2</v>
      </c>
    </row>
    <row r="77" spans="1:12" s="1" customFormat="1" ht="11.2" customHeight="1" x14ac:dyDescent="0.5">
      <c r="A77" s="23"/>
      <c r="B77" s="23"/>
      <c r="C77" s="23"/>
      <c r="D77" s="23"/>
      <c r="E77" s="23"/>
      <c r="F77" s="28"/>
      <c r="G77" s="27"/>
      <c r="H77" s="25" t="s">
        <v>17</v>
      </c>
      <c r="I77" s="26"/>
      <c r="J77" s="53">
        <f>J4*J76</f>
        <v>0.60000000000000009</v>
      </c>
      <c r="K77" s="53">
        <f>J4*K76</f>
        <v>0.30000000000000004</v>
      </c>
      <c r="L77" s="53">
        <f>J4*L76</f>
        <v>0.24</v>
      </c>
    </row>
    <row r="78" spans="1:12" s="1" customFormat="1" ht="10.5" customHeight="1" x14ac:dyDescent="0.6">
      <c r="A78" s="23"/>
      <c r="B78" s="23"/>
      <c r="C78" s="23"/>
      <c r="D78" s="23"/>
      <c r="E78" s="23"/>
      <c r="F78" s="28"/>
      <c r="G78" s="27"/>
      <c r="H78" s="25" t="s">
        <v>20</v>
      </c>
      <c r="I78" s="26"/>
      <c r="J78" s="54">
        <f>D70+J77</f>
        <v>0.30000000000000004</v>
      </c>
      <c r="K78" s="54">
        <f>E70+K77</f>
        <v>1.1600000000000001</v>
      </c>
      <c r="L78" s="54">
        <f>F70+L77</f>
        <v>-0.38000000000000012</v>
      </c>
    </row>
    <row r="79" spans="1:12" s="1" customFormat="1" ht="12.75" customHeight="1" x14ac:dyDescent="0.5">
      <c r="A79" s="2" t="s">
        <v>35</v>
      </c>
      <c r="B79" s="8"/>
      <c r="C79" s="8"/>
      <c r="D79" s="8"/>
      <c r="E79" s="45" t="s">
        <v>6</v>
      </c>
      <c r="F79" s="8"/>
      <c r="G79" s="8"/>
      <c r="H79" s="8"/>
      <c r="I79" s="8"/>
      <c r="J79" s="8"/>
      <c r="K79" s="8"/>
      <c r="L79" s="8"/>
    </row>
    <row r="80" spans="1:12" s="1" customFormat="1" ht="11.2" customHeight="1" x14ac:dyDescent="0.5">
      <c r="A80" s="14"/>
      <c r="B80" s="15" t="s">
        <v>0</v>
      </c>
      <c r="C80" s="16"/>
      <c r="D80" s="14"/>
      <c r="E80" s="15" t="s">
        <v>1</v>
      </c>
      <c r="F80" s="16"/>
      <c r="G80" s="17" t="s">
        <v>2</v>
      </c>
      <c r="H80" s="17" t="s">
        <v>3</v>
      </c>
      <c r="I80" s="17" t="s">
        <v>4</v>
      </c>
      <c r="J80" s="18"/>
      <c r="K80" s="19" t="s">
        <v>5</v>
      </c>
      <c r="L80" s="20"/>
    </row>
    <row r="81" spans="1:12" ht="11.2" customHeight="1" x14ac:dyDescent="0.6">
      <c r="A81" s="4" t="s">
        <v>7</v>
      </c>
      <c r="B81" s="5" t="s">
        <v>8</v>
      </c>
      <c r="C81" s="6" t="s">
        <v>9</v>
      </c>
      <c r="D81" s="4" t="s">
        <v>10</v>
      </c>
      <c r="E81" s="5" t="s">
        <v>11</v>
      </c>
      <c r="F81" s="6" t="s">
        <v>12</v>
      </c>
      <c r="G81" s="3" t="s">
        <v>14</v>
      </c>
      <c r="H81" s="3" t="s">
        <v>15</v>
      </c>
      <c r="I81" s="3" t="s">
        <v>16</v>
      </c>
      <c r="J81" s="4"/>
      <c r="K81" s="5" t="s">
        <v>13</v>
      </c>
      <c r="L81" s="6"/>
    </row>
    <row r="82" spans="1:12" s="22" customFormat="1" ht="11.2" customHeight="1" x14ac:dyDescent="0.4">
      <c r="A82" s="29">
        <v>1</v>
      </c>
      <c r="B82" s="30">
        <v>0.1</v>
      </c>
      <c r="C82" s="31">
        <v>0.75</v>
      </c>
      <c r="D82" s="55">
        <f>J78</f>
        <v>0.30000000000000004</v>
      </c>
      <c r="E82" s="56">
        <f>K78</f>
        <v>1.1600000000000001</v>
      </c>
      <c r="F82" s="57">
        <f>L78</f>
        <v>-0.38000000000000012</v>
      </c>
      <c r="G82" s="41">
        <f t="shared" ref="G82:G87" si="30">A82*D82+B82*E82+C82*F82</f>
        <v>0.13099999999999995</v>
      </c>
      <c r="H82" s="41">
        <f t="shared" ref="H82:H87" si="31">IF(G82&gt;0,1,0)</f>
        <v>1</v>
      </c>
      <c r="I82" s="41">
        <v>0</v>
      </c>
      <c r="J82" s="49">
        <f t="shared" ref="J82:J87" si="32">IF((I82-H82)&gt;0, A82, IF((I82-H82)&lt;0, -A82, 0))</f>
        <v>-1</v>
      </c>
      <c r="K82" s="49">
        <f t="shared" ref="K82:K87" si="33">IF((I82-H82)&gt;0, B82, IF((I82-H82)&lt;0, -B82, 0))</f>
        <v>-0.1</v>
      </c>
      <c r="L82" s="49">
        <f t="shared" ref="L82:L87" si="34">IF((I82-H82)&gt;0, C82, IF((I82-H82)&lt;0, -C82, 0))</f>
        <v>-0.75</v>
      </c>
    </row>
    <row r="83" spans="1:12" s="21" customFormat="1" ht="11.2" customHeight="1" x14ac:dyDescent="0.4">
      <c r="A83" s="32">
        <v>1</v>
      </c>
      <c r="B83" s="33">
        <v>0.4</v>
      </c>
      <c r="C83" s="34">
        <v>0.6</v>
      </c>
      <c r="D83" s="55">
        <f>J78</f>
        <v>0.30000000000000004</v>
      </c>
      <c r="E83" s="56">
        <f>K78</f>
        <v>1.1600000000000001</v>
      </c>
      <c r="F83" s="57">
        <f>L78</f>
        <v>-0.38000000000000012</v>
      </c>
      <c r="G83" s="42">
        <f t="shared" si="30"/>
        <v>0.53600000000000003</v>
      </c>
      <c r="H83" s="42">
        <f t="shared" si="31"/>
        <v>1</v>
      </c>
      <c r="I83" s="42">
        <v>0</v>
      </c>
      <c r="J83" s="50">
        <f t="shared" si="32"/>
        <v>-1</v>
      </c>
      <c r="K83" s="50">
        <f t="shared" si="33"/>
        <v>-0.4</v>
      </c>
      <c r="L83" s="50">
        <f t="shared" si="34"/>
        <v>-0.6</v>
      </c>
    </row>
    <row r="84" spans="1:12" s="21" customFormat="1" ht="11.2" customHeight="1" x14ac:dyDescent="0.4">
      <c r="A84" s="35">
        <v>1</v>
      </c>
      <c r="B84" s="36">
        <v>0.75</v>
      </c>
      <c r="C84" s="37">
        <v>0.6</v>
      </c>
      <c r="D84" s="55">
        <f>J78</f>
        <v>0.30000000000000004</v>
      </c>
      <c r="E84" s="56">
        <f>K78</f>
        <v>1.1600000000000001</v>
      </c>
      <c r="F84" s="57">
        <f>L78</f>
        <v>-0.38000000000000012</v>
      </c>
      <c r="G84" s="43">
        <f t="shared" si="30"/>
        <v>0.94200000000000006</v>
      </c>
      <c r="H84" s="43">
        <f t="shared" si="31"/>
        <v>1</v>
      </c>
      <c r="I84" s="43">
        <v>1</v>
      </c>
      <c r="J84" s="51">
        <f t="shared" si="32"/>
        <v>0</v>
      </c>
      <c r="K84" s="51">
        <f t="shared" si="33"/>
        <v>0</v>
      </c>
      <c r="L84" s="51">
        <f t="shared" si="34"/>
        <v>0</v>
      </c>
    </row>
    <row r="85" spans="1:12" s="21" customFormat="1" ht="11.2" customHeight="1" x14ac:dyDescent="0.4">
      <c r="A85" s="35">
        <v>1</v>
      </c>
      <c r="B85" s="36">
        <v>0.15</v>
      </c>
      <c r="C85" s="37">
        <v>0.25</v>
      </c>
      <c r="D85" s="55">
        <f>J78</f>
        <v>0.30000000000000004</v>
      </c>
      <c r="E85" s="56">
        <f>K78</f>
        <v>1.1600000000000001</v>
      </c>
      <c r="F85" s="57">
        <f>L78</f>
        <v>-0.38000000000000012</v>
      </c>
      <c r="G85" s="43">
        <f t="shared" si="30"/>
        <v>0.37900000000000006</v>
      </c>
      <c r="H85" s="43">
        <f t="shared" si="31"/>
        <v>1</v>
      </c>
      <c r="I85" s="43">
        <v>1</v>
      </c>
      <c r="J85" s="51">
        <f t="shared" si="32"/>
        <v>0</v>
      </c>
      <c r="K85" s="51">
        <f t="shared" si="33"/>
        <v>0</v>
      </c>
      <c r="L85" s="51">
        <f t="shared" si="34"/>
        <v>0</v>
      </c>
    </row>
    <row r="86" spans="1:12" s="21" customFormat="1" ht="11.2" customHeight="1" x14ac:dyDescent="0.4">
      <c r="A86" s="35">
        <v>1</v>
      </c>
      <c r="B86" s="36">
        <v>0.2</v>
      </c>
      <c r="C86" s="37">
        <v>0.4</v>
      </c>
      <c r="D86" s="55">
        <f>J78</f>
        <v>0.30000000000000004</v>
      </c>
      <c r="E86" s="56">
        <f>K78</f>
        <v>1.1600000000000001</v>
      </c>
      <c r="F86" s="57">
        <f>L78</f>
        <v>-0.38000000000000012</v>
      </c>
      <c r="G86" s="43">
        <f t="shared" si="30"/>
        <v>0.38</v>
      </c>
      <c r="H86" s="43">
        <f t="shared" si="31"/>
        <v>1</v>
      </c>
      <c r="I86" s="43">
        <v>0</v>
      </c>
      <c r="J86" s="51">
        <f t="shared" si="32"/>
        <v>-1</v>
      </c>
      <c r="K86" s="51">
        <f t="shared" si="33"/>
        <v>-0.2</v>
      </c>
      <c r="L86" s="51">
        <f t="shared" si="34"/>
        <v>-0.4</v>
      </c>
    </row>
    <row r="87" spans="1:12" s="21" customFormat="1" ht="11.2" customHeight="1" x14ac:dyDescent="0.4">
      <c r="A87" s="38">
        <v>1</v>
      </c>
      <c r="B87" s="39">
        <v>0.6</v>
      </c>
      <c r="C87" s="40">
        <v>0.35</v>
      </c>
      <c r="D87" s="55">
        <f>J78</f>
        <v>0.30000000000000004</v>
      </c>
      <c r="E87" s="56">
        <f>K78</f>
        <v>1.1600000000000001</v>
      </c>
      <c r="F87" s="57">
        <f>L78</f>
        <v>-0.38000000000000012</v>
      </c>
      <c r="G87" s="44">
        <f t="shared" si="30"/>
        <v>0.8630000000000001</v>
      </c>
      <c r="H87" s="44">
        <f t="shared" si="31"/>
        <v>1</v>
      </c>
      <c r="I87" s="44">
        <v>1</v>
      </c>
      <c r="J87" s="52">
        <f t="shared" si="32"/>
        <v>0</v>
      </c>
      <c r="K87" s="52">
        <f t="shared" si="33"/>
        <v>0</v>
      </c>
      <c r="L87" s="52">
        <f t="shared" si="34"/>
        <v>0</v>
      </c>
    </row>
    <row r="88" spans="1:12" s="1" customFormat="1" ht="11.2" customHeight="1" x14ac:dyDescent="0.5">
      <c r="A88" s="23"/>
      <c r="B88" s="23"/>
      <c r="C88" s="23"/>
      <c r="D88" s="23"/>
      <c r="E88" s="23"/>
      <c r="F88" s="28"/>
      <c r="G88" s="24"/>
      <c r="H88" s="25" t="s">
        <v>19</v>
      </c>
      <c r="I88" s="26"/>
      <c r="J88" s="53">
        <f>SUM(J82:J87)</f>
        <v>-3</v>
      </c>
      <c r="K88" s="53">
        <f>SUM(K82:K87)</f>
        <v>-0.7</v>
      </c>
      <c r="L88" s="53">
        <f>SUM(L82:L87)</f>
        <v>-1.75</v>
      </c>
    </row>
    <row r="89" spans="1:12" s="1" customFormat="1" ht="11.2" customHeight="1" x14ac:dyDescent="0.5">
      <c r="A89" s="23"/>
      <c r="B89" s="23"/>
      <c r="C89" s="23"/>
      <c r="D89" s="23"/>
      <c r="E89" s="23"/>
      <c r="F89" s="28"/>
      <c r="G89" s="27"/>
      <c r="H89" s="25" t="s">
        <v>17</v>
      </c>
      <c r="I89" s="26"/>
      <c r="J89" s="53">
        <f>J4*J88</f>
        <v>-0.60000000000000009</v>
      </c>
      <c r="K89" s="53">
        <f>J4*K88</f>
        <v>-0.13999999999999999</v>
      </c>
      <c r="L89" s="53">
        <f>J4*L88</f>
        <v>-0.35000000000000003</v>
      </c>
    </row>
    <row r="90" spans="1:12" s="1" customFormat="1" ht="10.5" customHeight="1" x14ac:dyDescent="0.6">
      <c r="A90" s="23"/>
      <c r="B90" s="23"/>
      <c r="C90" s="23"/>
      <c r="D90" s="23"/>
      <c r="E90" s="23"/>
      <c r="F90" s="28"/>
      <c r="G90" s="27"/>
      <c r="H90" s="25" t="s">
        <v>20</v>
      </c>
      <c r="I90" s="26"/>
      <c r="J90" s="54">
        <f>D82+J89</f>
        <v>-0.30000000000000004</v>
      </c>
      <c r="K90" s="54">
        <f>E82+K89</f>
        <v>1.0200000000000002</v>
      </c>
      <c r="L90" s="54">
        <f>F82+L89</f>
        <v>-0.7300000000000002</v>
      </c>
    </row>
    <row r="91" spans="1:12" s="1" customFormat="1" ht="12.75" customHeight="1" x14ac:dyDescent="0.5">
      <c r="A91" s="2" t="s">
        <v>37</v>
      </c>
      <c r="B91" s="8"/>
      <c r="C91" s="8"/>
      <c r="D91" s="8"/>
      <c r="E91" s="45" t="s">
        <v>36</v>
      </c>
      <c r="F91" s="8"/>
      <c r="G91" s="8"/>
      <c r="H91" s="8"/>
      <c r="I91" s="8"/>
      <c r="J91" s="8"/>
      <c r="K91" s="8"/>
      <c r="L91" s="8"/>
    </row>
    <row r="92" spans="1:12" s="1" customFormat="1" ht="11.25" customHeight="1" x14ac:dyDescent="0.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</row>
  </sheetData>
  <phoneticPr fontId="0" type="noConversion"/>
  <pageMargins left="0.74803149606299213" right="0.35433070866141736" top="0.78740157480314965" bottom="0.78740157480314965" header="0.51181102362204722" footer="0.51181102362204722"/>
  <pageSetup paperSize="9" orientation="portrait" r:id="rId1"/>
  <headerFooter alignWithMargins="0">
    <oddHeader>&amp;C&amp;"Arial,Bold"&amp;14Training a Perceptron to solve AND problem (batch mode)</oddHeader>
    <oddFooter>&amp;L&amp;"Times New Roman,Regular"NENGA (U13677)&amp;C&amp;"Times New Roman,Regular"Dr. I. Jordanov&amp;R&amp;"Times New Roman,Regular"&amp;P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8597-6C1B-4205-BCC7-4B4CC0B00A91}">
  <dimension ref="A1"/>
  <sheetViews>
    <sheetView workbookViewId="0"/>
  </sheetViews>
  <sheetFormatPr defaultRowHeight="12.3" x14ac:dyDescent="0.4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6B563-D9D5-4D3F-B7AC-10929E52CD80}">
  <dimension ref="A1"/>
  <sheetViews>
    <sheetView workbookViewId="0"/>
  </sheetViews>
  <sheetFormatPr defaultRowHeight="12.3" x14ac:dyDescent="0.4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Marusha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Ivan Jordanov</cp:lastModifiedBy>
  <cp:lastPrinted>2013-11-04T11:50:57Z</cp:lastPrinted>
  <dcterms:created xsi:type="dcterms:W3CDTF">2002-02-10T15:51:04Z</dcterms:created>
  <dcterms:modified xsi:type="dcterms:W3CDTF">2026-02-10T15:57:49Z</dcterms:modified>
</cp:coreProperties>
</file>