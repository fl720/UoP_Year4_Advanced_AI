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esktop\Advanced_AI\week3\Lab3 - Perceptron, FILA amp ADALINE-20260211\"/>
    </mc:Choice>
  </mc:AlternateContent>
  <xr:revisionPtr revIDLastSave="0" documentId="8_{862FA3D2-DA57-4284-B5F3-886891DC182C}" xr6:coauthVersionLast="47" xr6:coauthVersionMax="47" xr10:uidLastSave="{00000000-0000-0000-0000-000000000000}"/>
  <bookViews>
    <workbookView xWindow="420" yWindow="1610" windowWidth="16800" windowHeight="9670" xr2:uid="{00000000-000D-0000-FFFF-FFFF00000000}"/>
  </bookViews>
  <sheets>
    <sheet name="Sheet1" sheetId="1" r:id="rId1"/>
    <sheet name="Sheet2" sheetId="2" state="hidden" r:id="rId2"/>
    <sheet name="Sheet3" sheetId="3" state="hidden" r:id="rId3"/>
  </sheets>
  <definedNames>
    <definedName name="_xlnm.Print_Area" localSheetId="0">Sheet1!$A$1:$L$20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E16" i="1"/>
  <c r="E15" i="1"/>
  <c r="D16" i="1"/>
  <c r="D15" i="1"/>
  <c r="F17" i="1"/>
  <c r="F14" i="1"/>
  <c r="F13" i="1"/>
  <c r="E17" i="1"/>
  <c r="E14" i="1"/>
  <c r="E13" i="1"/>
  <c r="D17" i="1"/>
  <c r="D14" i="1"/>
  <c r="D13" i="1"/>
  <c r="F12" i="1"/>
  <c r="E12" i="1"/>
  <c r="D12" i="1"/>
  <c r="G13" i="1" l="1"/>
  <c r="H13" i="1" s="1"/>
  <c r="J13" i="1" s="1"/>
  <c r="G14" i="1"/>
  <c r="H14" i="1" s="1"/>
  <c r="K14" i="1" s="1"/>
  <c r="G15" i="1"/>
  <c r="H15" i="1" s="1"/>
  <c r="K15" i="1" s="1"/>
  <c r="G16" i="1"/>
  <c r="H16" i="1" s="1"/>
  <c r="L16" i="1" s="1"/>
  <c r="G17" i="1"/>
  <c r="H17" i="1" s="1"/>
  <c r="J17" i="1" s="1"/>
  <c r="G12" i="1"/>
  <c r="H12" i="1" s="1"/>
  <c r="J12" i="1" s="1"/>
  <c r="L12" i="1"/>
  <c r="L14" i="1" l="1"/>
  <c r="J14" i="1"/>
  <c r="L13" i="1"/>
  <c r="K13" i="1"/>
  <c r="J15" i="1"/>
  <c r="L15" i="1"/>
  <c r="K12" i="1"/>
  <c r="K16" i="1"/>
  <c r="J16" i="1"/>
  <c r="K17" i="1"/>
  <c r="L17" i="1"/>
  <c r="L18" i="1" l="1"/>
  <c r="L19" i="1" s="1"/>
  <c r="L20" i="1" s="1"/>
  <c r="K18" i="1"/>
  <c r="K19" i="1" s="1"/>
  <c r="K20" i="1" s="1"/>
  <c r="J18" i="1"/>
  <c r="J19" i="1" s="1"/>
  <c r="J20" i="1" s="1"/>
</calcChain>
</file>

<file path=xl/sharedStrings.xml><?xml version="1.0" encoding="utf-8"?>
<sst xmlns="http://schemas.openxmlformats.org/spreadsheetml/2006/main" count="34" uniqueCount="34">
  <si>
    <t>X</t>
  </si>
  <si>
    <t>W</t>
  </si>
  <si>
    <t>X.W</t>
  </si>
  <si>
    <t>o(net)</t>
  </si>
  <si>
    <t>t</t>
  </si>
  <si>
    <t>S</t>
  </si>
  <si>
    <r>
      <t>x</t>
    </r>
    <r>
      <rPr>
        <b/>
        <vertAlign val="subscript"/>
        <sz val="10"/>
        <rFont val="Arial"/>
        <family val="2"/>
      </rPr>
      <t>0</t>
    </r>
  </si>
  <si>
    <r>
      <t>x</t>
    </r>
    <r>
      <rPr>
        <b/>
        <vertAlign val="subscript"/>
        <sz val="10"/>
        <rFont val="Arial"/>
        <family val="2"/>
      </rPr>
      <t>1</t>
    </r>
  </si>
  <si>
    <r>
      <t>x</t>
    </r>
    <r>
      <rPr>
        <b/>
        <vertAlign val="subscript"/>
        <sz val="10"/>
        <rFont val="Arial"/>
        <family val="2"/>
      </rPr>
      <t>2</t>
    </r>
  </si>
  <si>
    <r>
      <t>w</t>
    </r>
    <r>
      <rPr>
        <b/>
        <vertAlign val="subscript"/>
        <sz val="10"/>
        <rFont val="Arial"/>
        <family val="2"/>
      </rPr>
      <t>0</t>
    </r>
  </si>
  <si>
    <r>
      <t>w</t>
    </r>
    <r>
      <rPr>
        <b/>
        <vertAlign val="subscript"/>
        <sz val="10"/>
        <rFont val="Arial"/>
        <family val="2"/>
      </rPr>
      <t>1</t>
    </r>
  </si>
  <si>
    <r>
      <t>w</t>
    </r>
    <r>
      <rPr>
        <b/>
        <vertAlign val="subscript"/>
        <sz val="10"/>
        <rFont val="Arial"/>
        <family val="2"/>
      </rPr>
      <t>2</t>
    </r>
  </si>
  <si>
    <t>(errors)</t>
  </si>
  <si>
    <t>pattern1 :</t>
  </si>
  <si>
    <t>pattern 2 :</t>
  </si>
  <si>
    <t>pattern 3 :</t>
  </si>
  <si>
    <t>pattern 4 :</t>
  </si>
  <si>
    <t>(net)</t>
  </si>
  <si>
    <t>(output)</t>
  </si>
  <si>
    <t>(target)</t>
  </si>
  <si>
    <r>
      <t>X</t>
    </r>
    <r>
      <rPr>
        <sz val="10"/>
        <rFont val="Arial"/>
        <family val="2"/>
      </rPr>
      <t xml:space="preserve"> - input vector</t>
    </r>
  </si>
  <si>
    <t xml:space="preserve">vertical sum(S)  = </t>
  </si>
  <si>
    <r>
      <t>w</t>
    </r>
    <r>
      <rPr>
        <vertAlign val="subscript"/>
        <sz val="10"/>
        <rFont val="Arial"/>
        <family val="2"/>
      </rPr>
      <t>new</t>
    </r>
    <r>
      <rPr>
        <sz val="10"/>
        <rFont val="Arial"/>
        <family val="2"/>
      </rPr>
      <t xml:space="preserve"> = w</t>
    </r>
    <r>
      <rPr>
        <vertAlign val="subscript"/>
        <sz val="10"/>
        <rFont val="Arial"/>
        <family val="2"/>
      </rPr>
      <t>old</t>
    </r>
    <r>
      <rPr>
        <sz val="10"/>
        <rFont val="Arial"/>
        <family val="2"/>
      </rPr>
      <t xml:space="preserve"> + dw =</t>
    </r>
  </si>
  <si>
    <t>(Boolean AND problem)</t>
  </si>
  <si>
    <r>
      <t>Initial weight vector W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</t>
    </r>
  </si>
  <si>
    <t>pattern 5 :</t>
  </si>
  <si>
    <t>pattern 6:</t>
  </si>
  <si>
    <t xml:space="preserve">Learning rate </t>
  </si>
  <si>
    <t>rate</t>
  </si>
  <si>
    <t>dw     =  η  . S    =</t>
  </si>
  <si>
    <t xml:space="preserve"> η = </t>
  </si>
  <si>
    <t xml:space="preserve">  Fixed-Increment Learning Algorithm (FILA) - test for the convering example </t>
  </si>
  <si>
    <r>
      <t>S</t>
    </r>
    <r>
      <rPr>
        <sz val="10"/>
        <rFont val="Arial"/>
        <family val="2"/>
      </rPr>
      <t xml:space="preserve"> - misclassified patterns (error) vector </t>
    </r>
  </si>
  <si>
    <t>So, the perceptron (with these particular weights) can generalise!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</si>
</sst>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33CC"/>
      <name val="Arial"/>
      <family val="2"/>
    </font>
  </fonts>
  <fills count="13">
    <fill>
      <patternFill patternType="none"/>
    </fill>
    <fill>
      <patternFill patternType="gray125"/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theme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indent="1"/>
    </xf>
    <xf numFmtId="0" fontId="0" fillId="3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 vertical="top"/>
    </xf>
    <xf numFmtId="0" fontId="0" fillId="8" borderId="8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4" fillId="9" borderId="0" xfId="0" applyFont="1" applyFill="1"/>
    <xf numFmtId="0" fontId="0" fillId="10" borderId="13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4" fillId="10" borderId="0" xfId="0" applyFont="1" applyFill="1"/>
    <xf numFmtId="0" fontId="4" fillId="11" borderId="0" xfId="0" applyFont="1" applyFill="1"/>
    <xf numFmtId="0" fontId="0" fillId="11" borderId="13" xfId="0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top"/>
    </xf>
    <xf numFmtId="0" fontId="7" fillId="0" borderId="0" xfId="0" applyFont="1"/>
    <xf numFmtId="0" fontId="4" fillId="12" borderId="0" xfId="0" applyFont="1" applyFill="1"/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33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Normal="100" workbookViewId="0">
      <selection activeCell="J5" sqref="J5"/>
    </sheetView>
  </sheetViews>
  <sheetFormatPr defaultRowHeight="12.5" x14ac:dyDescent="0.25"/>
  <cols>
    <col min="1" max="1" width="3.453125" customWidth="1"/>
    <col min="2" max="2" width="5" customWidth="1"/>
    <col min="3" max="3" width="6.1796875" customWidth="1"/>
    <col min="4" max="4" width="5.54296875" customWidth="1"/>
    <col min="5" max="6" width="5.453125" customWidth="1"/>
    <col min="7" max="7" width="7.1796875" customWidth="1"/>
    <col min="8" max="8" width="7.7265625" customWidth="1"/>
    <col min="9" max="9" width="8" customWidth="1"/>
    <col min="10" max="10" width="11" customWidth="1"/>
    <col min="11" max="11" width="11.26953125" customWidth="1"/>
    <col min="12" max="12" width="12.453125" customWidth="1"/>
  </cols>
  <sheetData>
    <row r="1" spans="1:12" s="1" customFormat="1" ht="18.75" customHeight="1" x14ac:dyDescent="0.35">
      <c r="A1" s="46" t="s">
        <v>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s="1" customFormat="1" ht="14.25" customHeight="1" x14ac:dyDescent="0.35">
      <c r="G2" s="1" t="s">
        <v>23</v>
      </c>
    </row>
    <row r="3" spans="1:12" s="7" customFormat="1" ht="12" customHeight="1" x14ac:dyDescent="0.4">
      <c r="A3" s="7" t="s">
        <v>13</v>
      </c>
      <c r="D3" s="8"/>
      <c r="E3" s="8"/>
      <c r="G3" s="7" t="s">
        <v>24</v>
      </c>
      <c r="J3" s="45">
        <v>-0.3</v>
      </c>
      <c r="K3" s="45">
        <v>0.2</v>
      </c>
      <c r="L3" s="45">
        <v>0.3</v>
      </c>
    </row>
    <row r="4" spans="1:12" s="7" customFormat="1" ht="11.15" customHeight="1" x14ac:dyDescent="0.25">
      <c r="A4" s="7" t="s">
        <v>14</v>
      </c>
      <c r="D4" s="9"/>
      <c r="E4" s="9"/>
      <c r="G4" s="7" t="s">
        <v>27</v>
      </c>
      <c r="H4" s="7" t="s">
        <v>28</v>
      </c>
      <c r="I4" s="7" t="s">
        <v>30</v>
      </c>
      <c r="J4" s="25">
        <v>0.1</v>
      </c>
      <c r="K4" s="24"/>
    </row>
    <row r="5" spans="1:12" s="7" customFormat="1" ht="11.15" customHeight="1" x14ac:dyDescent="0.3">
      <c r="A5" s="7" t="s">
        <v>15</v>
      </c>
      <c r="D5" s="36"/>
      <c r="E5" s="36"/>
      <c r="H5" s="6" t="s">
        <v>20</v>
      </c>
    </row>
    <row r="6" spans="1:12" s="7" customFormat="1" ht="11.15" customHeight="1" x14ac:dyDescent="0.3">
      <c r="A6" s="7" t="s">
        <v>16</v>
      </c>
      <c r="D6" s="37"/>
      <c r="E6" s="37"/>
      <c r="H6" s="6" t="s">
        <v>32</v>
      </c>
    </row>
    <row r="7" spans="1:12" s="7" customFormat="1" ht="11.15" customHeight="1" x14ac:dyDescent="0.3">
      <c r="A7" s="7" t="s">
        <v>25</v>
      </c>
      <c r="D7" s="33"/>
      <c r="E7" s="33"/>
      <c r="H7" s="6"/>
    </row>
    <row r="8" spans="1:12" s="7" customFormat="1" ht="11.15" customHeight="1" x14ac:dyDescent="0.3">
      <c r="A8" s="7" t="s">
        <v>26</v>
      </c>
      <c r="D8" s="10"/>
      <c r="E8" s="10"/>
      <c r="H8" s="6"/>
    </row>
    <row r="9" spans="1:12" s="1" customFormat="1" ht="8.1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1" customFormat="1" ht="11.15" customHeight="1" x14ac:dyDescent="0.35">
      <c r="A10" s="11"/>
      <c r="B10" s="12" t="s">
        <v>0</v>
      </c>
      <c r="C10" s="13"/>
      <c r="D10" s="11"/>
      <c r="E10" s="12" t="s">
        <v>1</v>
      </c>
      <c r="F10" s="13"/>
      <c r="G10" s="14" t="s">
        <v>2</v>
      </c>
      <c r="H10" s="14" t="s">
        <v>3</v>
      </c>
      <c r="I10" s="14" t="s">
        <v>4</v>
      </c>
      <c r="J10" s="15"/>
      <c r="K10" s="16" t="s">
        <v>5</v>
      </c>
      <c r="L10" s="17"/>
    </row>
    <row r="11" spans="1:12" ht="11.15" customHeight="1" x14ac:dyDescent="0.4">
      <c r="A11" s="3" t="s">
        <v>6</v>
      </c>
      <c r="B11" s="4" t="s">
        <v>7</v>
      </c>
      <c r="C11" s="5" t="s">
        <v>8</v>
      </c>
      <c r="D11" s="3" t="s">
        <v>9</v>
      </c>
      <c r="E11" s="4" t="s">
        <v>10</v>
      </c>
      <c r="F11" s="5" t="s">
        <v>11</v>
      </c>
      <c r="G11" s="2" t="s">
        <v>17</v>
      </c>
      <c r="H11" s="2" t="s">
        <v>18</v>
      </c>
      <c r="I11" s="2" t="s">
        <v>19</v>
      </c>
      <c r="J11" s="3"/>
      <c r="K11" s="4" t="s">
        <v>12</v>
      </c>
      <c r="L11" s="5"/>
    </row>
    <row r="12" spans="1:12" ht="11.15" customHeight="1" x14ac:dyDescent="0.25">
      <c r="A12" s="26">
        <v>1</v>
      </c>
      <c r="B12" s="26">
        <v>0.1</v>
      </c>
      <c r="C12" s="26">
        <v>0.75</v>
      </c>
      <c r="D12" s="32">
        <f>J3</f>
        <v>-0.3</v>
      </c>
      <c r="E12" s="32">
        <f>K3</f>
        <v>0.2</v>
      </c>
      <c r="F12" s="32">
        <f>L3</f>
        <v>0.3</v>
      </c>
      <c r="G12" s="32">
        <f t="shared" ref="G12:G17" si="0">A12*D12+B12*E12+C12*F12</f>
        <v>-5.4999999999999993E-2</v>
      </c>
      <c r="H12" s="32">
        <f t="shared" ref="H12:H17" si="1">IF(G12&gt;0,1,0)</f>
        <v>0</v>
      </c>
      <c r="I12" s="26">
        <v>0</v>
      </c>
      <c r="J12" s="32">
        <f t="shared" ref="J12:J17" si="2">IF((I12-H12)&gt;0, A12, IF((I12-H12)&lt;0, -A12, 0))</f>
        <v>0</v>
      </c>
      <c r="K12" s="32">
        <f t="shared" ref="K12:K17" si="3">IF((I12-H12)&gt;0, B12, IF((I12-H12)&lt;0, -B12, 0))</f>
        <v>0</v>
      </c>
      <c r="L12" s="32">
        <f t="shared" ref="L12:L17" si="4">IF((I12-H12)&gt;0, C12, IF((I12-H12)&lt;0, -C12, 0))</f>
        <v>0</v>
      </c>
    </row>
    <row r="13" spans="1:12" ht="11.15" customHeight="1" x14ac:dyDescent="0.25">
      <c r="A13" s="27">
        <v>1</v>
      </c>
      <c r="B13" s="27">
        <v>0.4</v>
      </c>
      <c r="C13" s="27">
        <v>0.65</v>
      </c>
      <c r="D13" s="32">
        <f>J3</f>
        <v>-0.3</v>
      </c>
      <c r="E13" s="32">
        <f>K3</f>
        <v>0.2</v>
      </c>
      <c r="F13" s="32">
        <f>L3</f>
        <v>0.3</v>
      </c>
      <c r="G13" s="32">
        <f t="shared" si="0"/>
        <v>-2.4999999999999967E-2</v>
      </c>
      <c r="H13" s="32">
        <f t="shared" si="1"/>
        <v>0</v>
      </c>
      <c r="I13" s="27">
        <v>0</v>
      </c>
      <c r="J13" s="32">
        <f t="shared" si="2"/>
        <v>0</v>
      </c>
      <c r="K13" s="32">
        <f t="shared" si="3"/>
        <v>0</v>
      </c>
      <c r="L13" s="32">
        <f t="shared" si="4"/>
        <v>0</v>
      </c>
    </row>
    <row r="14" spans="1:12" ht="11.15" customHeight="1" x14ac:dyDescent="0.25">
      <c r="A14" s="34">
        <v>1</v>
      </c>
      <c r="B14" s="34">
        <v>0.75</v>
      </c>
      <c r="C14" s="34">
        <v>0.7</v>
      </c>
      <c r="D14" s="32">
        <f>J3</f>
        <v>-0.3</v>
      </c>
      <c r="E14" s="32">
        <f>K3</f>
        <v>0.2</v>
      </c>
      <c r="F14" s="32">
        <f>L3</f>
        <v>0.3</v>
      </c>
      <c r="G14" s="32">
        <f t="shared" si="0"/>
        <v>6.0000000000000026E-2</v>
      </c>
      <c r="H14" s="32">
        <f t="shared" si="1"/>
        <v>1</v>
      </c>
      <c r="I14" s="34">
        <v>1</v>
      </c>
      <c r="J14" s="32">
        <f t="shared" si="2"/>
        <v>0</v>
      </c>
      <c r="K14" s="32">
        <f t="shared" si="3"/>
        <v>0</v>
      </c>
      <c r="L14" s="32">
        <f t="shared" si="4"/>
        <v>0</v>
      </c>
    </row>
    <row r="15" spans="1:12" ht="11.15" customHeight="1" x14ac:dyDescent="0.25">
      <c r="A15" s="38">
        <v>1</v>
      </c>
      <c r="B15" s="38">
        <v>0.95</v>
      </c>
      <c r="C15" s="38">
        <v>0.85</v>
      </c>
      <c r="D15" s="32">
        <f>J3</f>
        <v>-0.3</v>
      </c>
      <c r="E15" s="32">
        <f>K3</f>
        <v>0.2</v>
      </c>
      <c r="F15" s="32">
        <f>L3</f>
        <v>0.3</v>
      </c>
      <c r="G15" s="32">
        <f t="shared" si="0"/>
        <v>0.14500000000000002</v>
      </c>
      <c r="H15" s="32">
        <f t="shared" si="1"/>
        <v>1</v>
      </c>
      <c r="I15" s="38">
        <v>1</v>
      </c>
      <c r="J15" s="32">
        <f t="shared" si="2"/>
        <v>0</v>
      </c>
      <c r="K15" s="32">
        <f t="shared" si="3"/>
        <v>0</v>
      </c>
      <c r="L15" s="32">
        <f t="shared" si="4"/>
        <v>0</v>
      </c>
    </row>
    <row r="16" spans="1:12" ht="11.15" customHeight="1" x14ac:dyDescent="0.25">
      <c r="A16" s="35">
        <v>1</v>
      </c>
      <c r="B16" s="35">
        <v>0.2</v>
      </c>
      <c r="C16" s="35">
        <v>0.4</v>
      </c>
      <c r="D16" s="32">
        <f>J3</f>
        <v>-0.3</v>
      </c>
      <c r="E16" s="32">
        <f>K3</f>
        <v>0.2</v>
      </c>
      <c r="F16" s="32">
        <f>L3</f>
        <v>0.3</v>
      </c>
      <c r="G16" s="32">
        <f t="shared" si="0"/>
        <v>-0.14000000000000001</v>
      </c>
      <c r="H16" s="32">
        <f t="shared" si="1"/>
        <v>0</v>
      </c>
      <c r="I16" s="35">
        <v>0</v>
      </c>
      <c r="J16" s="32">
        <f t="shared" si="2"/>
        <v>0</v>
      </c>
      <c r="K16" s="32">
        <f t="shared" si="3"/>
        <v>0</v>
      </c>
      <c r="L16" s="32">
        <f t="shared" si="4"/>
        <v>0</v>
      </c>
    </row>
    <row r="17" spans="1:12" ht="11.15" customHeight="1" x14ac:dyDescent="0.25">
      <c r="A17" s="28">
        <v>1</v>
      </c>
      <c r="B17" s="28">
        <v>0.8</v>
      </c>
      <c r="C17" s="28">
        <v>0.95</v>
      </c>
      <c r="D17" s="31">
        <f>J3</f>
        <v>-0.3</v>
      </c>
      <c r="E17" s="31">
        <f>K3</f>
        <v>0.2</v>
      </c>
      <c r="F17" s="31">
        <f>L3</f>
        <v>0.3</v>
      </c>
      <c r="G17" s="32">
        <f t="shared" si="0"/>
        <v>0.14500000000000002</v>
      </c>
      <c r="H17" s="32">
        <f t="shared" si="1"/>
        <v>1</v>
      </c>
      <c r="I17" s="28">
        <v>1</v>
      </c>
      <c r="J17" s="32">
        <f t="shared" si="2"/>
        <v>0</v>
      </c>
      <c r="K17" s="32">
        <f t="shared" si="3"/>
        <v>0</v>
      </c>
      <c r="L17" s="32">
        <f t="shared" si="4"/>
        <v>0</v>
      </c>
    </row>
    <row r="18" spans="1:12" s="1" customFormat="1" ht="11.15" customHeight="1" x14ac:dyDescent="0.35">
      <c r="A18" s="18"/>
      <c r="B18" s="18"/>
      <c r="C18" s="18"/>
      <c r="D18" s="18"/>
      <c r="E18" s="18"/>
      <c r="F18" s="23"/>
      <c r="G18" s="19"/>
      <c r="H18" s="20" t="s">
        <v>21</v>
      </c>
      <c r="I18" s="21"/>
      <c r="J18" s="39">
        <f>SUM(J12:J17)</f>
        <v>0</v>
      </c>
      <c r="K18" s="39">
        <f>SUM(K12:K17)</f>
        <v>0</v>
      </c>
      <c r="L18" s="39">
        <f>SUM(L12:L17)</f>
        <v>0</v>
      </c>
    </row>
    <row r="19" spans="1:12" s="1" customFormat="1" ht="11.15" customHeight="1" x14ac:dyDescent="0.35">
      <c r="A19" s="18"/>
      <c r="B19" s="18"/>
      <c r="C19" s="18"/>
      <c r="D19" s="18"/>
      <c r="E19" s="18"/>
      <c r="F19" s="23"/>
      <c r="G19" s="22"/>
      <c r="H19" s="20" t="s">
        <v>29</v>
      </c>
      <c r="I19" s="21"/>
      <c r="J19" s="29">
        <f>J4*J18</f>
        <v>0</v>
      </c>
      <c r="K19" s="29">
        <f>J4*K18</f>
        <v>0</v>
      </c>
      <c r="L19" s="29">
        <f>J4*L18</f>
        <v>0</v>
      </c>
    </row>
    <row r="20" spans="1:12" s="1" customFormat="1" ht="10.5" customHeight="1" x14ac:dyDescent="0.4">
      <c r="A20" s="18"/>
      <c r="B20" s="18"/>
      <c r="C20" s="18"/>
      <c r="D20" s="18"/>
      <c r="E20" s="18"/>
      <c r="F20" s="23"/>
      <c r="G20" s="22"/>
      <c r="H20" s="20" t="s">
        <v>22</v>
      </c>
      <c r="I20" s="21"/>
      <c r="J20" s="30">
        <f>D12+J19</f>
        <v>-0.3</v>
      </c>
      <c r="K20" s="30">
        <f>E12+K19</f>
        <v>0.2</v>
      </c>
      <c r="L20" s="30">
        <f>F12+L19</f>
        <v>0.3</v>
      </c>
    </row>
    <row r="21" spans="1:12" s="1" customFormat="1" ht="10.5" customHeight="1" x14ac:dyDescent="0.35">
      <c r="A21" s="18"/>
      <c r="B21" s="18"/>
      <c r="C21" s="18"/>
      <c r="D21" s="18"/>
      <c r="E21" s="18"/>
      <c r="F21" s="18"/>
      <c r="G21" s="40"/>
      <c r="H21" s="41"/>
      <c r="I21" s="42"/>
      <c r="J21" s="43"/>
      <c r="K21" s="43"/>
      <c r="L21" s="43"/>
    </row>
    <row r="22" spans="1:12" ht="13" x14ac:dyDescent="0.3">
      <c r="B22" s="44" t="s">
        <v>33</v>
      </c>
    </row>
  </sheetData>
  <mergeCells count="1">
    <mergeCell ref="A1:L1"/>
  </mergeCells>
  <phoneticPr fontId="0" type="noConversion"/>
  <pageMargins left="0.74803149606299213" right="0.35433070866141736" top="0.78740157480314965" bottom="0.78740157480314965" header="0.51181102362204722" footer="0.51181102362204722"/>
  <pageSetup paperSize="9" orientation="portrait" r:id="rId1"/>
  <headerFooter alignWithMargins="0">
    <oddHeader>&amp;C&amp;"Arial,Bold"&amp;14Training a Perceptron to solve AND problem (batch mode)</oddHeader>
    <oddFooter>&amp;L&amp;"Times New Roman,Regular"NENGA (U13677)&amp;C&amp;"Times New Roman,Regular"Dr. I. Jordanov&amp;R&amp;"Times New Roman,Regular"&amp;P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Frank Lin</cp:lastModifiedBy>
  <cp:lastPrinted>2013-11-04T11:50:57Z</cp:lastPrinted>
  <dcterms:created xsi:type="dcterms:W3CDTF">2002-02-10T15:51:04Z</dcterms:created>
  <dcterms:modified xsi:type="dcterms:W3CDTF">2026-02-17T23:25:08Z</dcterms:modified>
</cp:coreProperties>
</file>