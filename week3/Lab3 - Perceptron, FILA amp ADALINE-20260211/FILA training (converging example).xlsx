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\Desktop\Advanced_AI\week3\Lab3 - Perceptron, FILA amp ADALINE-20260211\"/>
    </mc:Choice>
  </mc:AlternateContent>
  <xr:revisionPtr revIDLastSave="0" documentId="8_{9128B698-D01F-454A-B06D-77409F7C2247}" xr6:coauthVersionLast="47" xr6:coauthVersionMax="47" xr10:uidLastSave="{00000000-0000-0000-0000-000000000000}"/>
  <bookViews>
    <workbookView xWindow="760" yWindow="1950" windowWidth="16800" windowHeight="9670" xr2:uid="{00000000-000D-0000-FFFF-FFFF00000000}"/>
  </bookViews>
  <sheets>
    <sheet name="Sheet1" sheetId="1" r:id="rId1"/>
    <sheet name="Sheet2" sheetId="2" state="hidden" r:id="rId2"/>
    <sheet name="Sheet3" sheetId="3" state="hidden" r:id="rId3"/>
  </sheets>
  <definedNames>
    <definedName name="_xlnm.Print_Area" localSheetId="0">Sheet1!$A$1:$L$68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E13" i="1"/>
  <c r="E12" i="1"/>
  <c r="E11" i="1"/>
  <c r="E10" i="1"/>
  <c r="D13" i="1"/>
  <c r="D12" i="1"/>
  <c r="D11" i="1"/>
  <c r="F10" i="1"/>
  <c r="D10" i="1"/>
  <c r="G13" i="1" l="1"/>
  <c r="H13" i="1" s="1"/>
  <c r="L13" i="1" s="1"/>
  <c r="G10" i="1"/>
  <c r="H10" i="1" s="1"/>
  <c r="K10" i="1" s="1"/>
  <c r="G11" i="1"/>
  <c r="H11" i="1" s="1"/>
  <c r="L11" i="1" s="1"/>
  <c r="G12" i="1"/>
  <c r="H12" i="1" s="1"/>
  <c r="L12" i="1" s="1"/>
  <c r="J10" i="1" l="1"/>
  <c r="J11" i="1"/>
  <c r="K11" i="1"/>
  <c r="J12" i="1"/>
  <c r="L10" i="1"/>
  <c r="L14" i="1" s="1"/>
  <c r="L15" i="1" s="1"/>
  <c r="L16" i="1" s="1"/>
  <c r="K13" i="1"/>
  <c r="J13" i="1"/>
  <c r="K12" i="1"/>
  <c r="J14" i="1" l="1"/>
  <c r="J15" i="1" s="1"/>
  <c r="J16" i="1" s="1"/>
  <c r="D23" i="1" s="1"/>
  <c r="K14" i="1"/>
  <c r="K15" i="1" s="1"/>
  <c r="K16" i="1" s="1"/>
  <c r="E21" i="1" s="1"/>
  <c r="F24" i="1"/>
  <c r="F23" i="1"/>
  <c r="F22" i="1"/>
  <c r="F21" i="1"/>
  <c r="E24" i="1" l="1"/>
  <c r="E22" i="1"/>
  <c r="E23" i="1"/>
  <c r="D24" i="1"/>
  <c r="D21" i="1"/>
  <c r="G21" i="1" s="1"/>
  <c r="H21" i="1" s="1"/>
  <c r="D22" i="1"/>
  <c r="G22" i="1" s="1"/>
  <c r="H22" i="1" s="1"/>
  <c r="G23" i="1"/>
  <c r="H23" i="1" s="1"/>
  <c r="G24" i="1" l="1"/>
  <c r="H24" i="1" s="1"/>
  <c r="J21" i="1"/>
  <c r="L21" i="1"/>
  <c r="K21" i="1"/>
  <c r="J23" i="1"/>
  <c r="K23" i="1"/>
  <c r="L23" i="1"/>
  <c r="K22" i="1"/>
  <c r="L22" i="1"/>
  <c r="J22" i="1"/>
  <c r="L24" i="1"/>
  <c r="J24" i="1"/>
  <c r="K24" i="1"/>
  <c r="K25" i="1" l="1"/>
  <c r="K26" i="1" s="1"/>
  <c r="K27" i="1" s="1"/>
  <c r="L25" i="1"/>
  <c r="L26" i="1" s="1"/>
  <c r="L27" i="1" s="1"/>
  <c r="J25" i="1"/>
  <c r="J26" i="1" s="1"/>
  <c r="J27" i="1" s="1"/>
  <c r="F34" i="1" l="1"/>
  <c r="F31" i="1"/>
  <c r="F33" i="1"/>
  <c r="F32" i="1"/>
  <c r="D32" i="1"/>
  <c r="D33" i="1"/>
  <c r="D34" i="1"/>
  <c r="D31" i="1"/>
  <c r="E31" i="1"/>
  <c r="E34" i="1"/>
  <c r="E33" i="1"/>
  <c r="E32" i="1"/>
  <c r="G32" i="1" l="1"/>
  <c r="H32" i="1" s="1"/>
  <c r="J32" i="1" s="1"/>
  <c r="G31" i="1"/>
  <c r="H31" i="1" s="1"/>
  <c r="K31" i="1" s="1"/>
  <c r="G33" i="1"/>
  <c r="H33" i="1" s="1"/>
  <c r="G34" i="1"/>
  <c r="H34" i="1" s="1"/>
  <c r="L32" i="1" l="1"/>
  <c r="K32" i="1"/>
  <c r="J31" i="1"/>
  <c r="L31" i="1"/>
  <c r="J33" i="1"/>
  <c r="L33" i="1"/>
  <c r="K33" i="1"/>
  <c r="K34" i="1"/>
  <c r="J34" i="1"/>
  <c r="L34" i="1"/>
  <c r="K35" i="1" l="1"/>
  <c r="K36" i="1" s="1"/>
  <c r="K37" i="1" s="1"/>
  <c r="E42" i="1" s="1"/>
  <c r="L35" i="1"/>
  <c r="L36" i="1" s="1"/>
  <c r="L37" i="1" s="1"/>
  <c r="F41" i="1" s="1"/>
  <c r="J35" i="1"/>
  <c r="J36" i="1" s="1"/>
  <c r="J37" i="1" s="1"/>
  <c r="D42" i="1" s="1"/>
  <c r="E41" i="1" l="1"/>
  <c r="E44" i="1"/>
  <c r="E43" i="1"/>
  <c r="F42" i="1"/>
  <c r="G42" i="1" s="1"/>
  <c r="H42" i="1" s="1"/>
  <c r="L42" i="1" s="1"/>
  <c r="F44" i="1"/>
  <c r="F43" i="1"/>
  <c r="D41" i="1"/>
  <c r="D44" i="1"/>
  <c r="D43" i="1"/>
  <c r="G43" i="1" s="1"/>
  <c r="H43" i="1" s="1"/>
  <c r="G41" i="1" l="1"/>
  <c r="H41" i="1" s="1"/>
  <c r="K41" i="1" s="1"/>
  <c r="J41" i="1"/>
  <c r="L41" i="1"/>
  <c r="G44" i="1"/>
  <c r="H44" i="1" s="1"/>
  <c r="L44" i="1" s="1"/>
  <c r="J42" i="1"/>
  <c r="K42" i="1"/>
  <c r="L43" i="1"/>
  <c r="J43" i="1"/>
  <c r="K43" i="1"/>
  <c r="K44" i="1" l="1"/>
  <c r="K45" i="1" s="1"/>
  <c r="K46" i="1" s="1"/>
  <c r="K47" i="1" s="1"/>
  <c r="E52" i="1" s="1"/>
  <c r="J44" i="1"/>
  <c r="J45" i="1" s="1"/>
  <c r="J46" i="1" s="1"/>
  <c r="J47" i="1" s="1"/>
  <c r="L45" i="1"/>
  <c r="L46" i="1" s="1"/>
  <c r="L47" i="1" s="1"/>
  <c r="F52" i="1" s="1"/>
  <c r="F54" i="1"/>
  <c r="F53" i="1"/>
  <c r="F51" i="1" l="1"/>
  <c r="D51" i="1"/>
  <c r="D53" i="1"/>
  <c r="D54" i="1"/>
  <c r="D52" i="1"/>
  <c r="E53" i="1"/>
  <c r="G53" i="1" s="1"/>
  <c r="H53" i="1" s="1"/>
  <c r="E54" i="1"/>
  <c r="E51" i="1"/>
  <c r="G52" i="1"/>
  <c r="H52" i="1" s="1"/>
  <c r="L52" i="1" s="1"/>
  <c r="G54" i="1"/>
  <c r="H54" i="1" s="1"/>
  <c r="G51" i="1" l="1"/>
  <c r="H51" i="1" s="1"/>
  <c r="J51" i="1" s="1"/>
  <c r="J52" i="1"/>
  <c r="K52" i="1"/>
  <c r="K54" i="1"/>
  <c r="J54" i="1"/>
  <c r="L54" i="1"/>
  <c r="L53" i="1"/>
  <c r="K53" i="1"/>
  <c r="J53" i="1"/>
  <c r="K51" i="1" l="1"/>
  <c r="K55" i="1" s="1"/>
  <c r="K56" i="1" s="1"/>
  <c r="K57" i="1" s="1"/>
  <c r="L51" i="1"/>
  <c r="J55" i="1"/>
  <c r="J56" i="1" s="1"/>
  <c r="J57" i="1" s="1"/>
  <c r="D63" i="1" s="1"/>
  <c r="L55" i="1"/>
  <c r="L56" i="1" s="1"/>
  <c r="L57" i="1" s="1"/>
  <c r="D62" i="1" l="1"/>
  <c r="D64" i="1"/>
  <c r="J68" i="1" s="1"/>
  <c r="D61" i="1"/>
  <c r="E63" i="1"/>
  <c r="E62" i="1"/>
  <c r="E64" i="1"/>
  <c r="K68" i="1" s="1"/>
  <c r="E61" i="1"/>
  <c r="F64" i="1"/>
  <c r="L68" i="1" s="1"/>
  <c r="F62" i="1"/>
  <c r="F61" i="1"/>
  <c r="F63" i="1"/>
  <c r="G61" i="1" l="1"/>
  <c r="H61" i="1" s="1"/>
  <c r="K61" i="1" s="1"/>
  <c r="G62" i="1"/>
  <c r="H62" i="1" s="1"/>
  <c r="K62" i="1" s="1"/>
  <c r="G63" i="1"/>
  <c r="H63" i="1" s="1"/>
  <c r="K63" i="1" s="1"/>
  <c r="G64" i="1"/>
  <c r="H64" i="1" s="1"/>
  <c r="L61" i="1" l="1"/>
  <c r="J61" i="1"/>
  <c r="J63" i="1"/>
  <c r="L62" i="1"/>
  <c r="J62" i="1"/>
  <c r="L63" i="1"/>
  <c r="J64" i="1"/>
  <c r="K64" i="1"/>
  <c r="K65" i="1" s="1"/>
  <c r="L64" i="1"/>
  <c r="L65" i="1" l="1"/>
  <c r="J65" i="1"/>
</calcChain>
</file>

<file path=xl/sharedStrings.xml><?xml version="1.0" encoding="utf-8"?>
<sst xmlns="http://schemas.openxmlformats.org/spreadsheetml/2006/main" count="131" uniqueCount="41">
  <si>
    <t>X</t>
  </si>
  <si>
    <t>W</t>
  </si>
  <si>
    <t>o(net)</t>
  </si>
  <si>
    <t>t</t>
  </si>
  <si>
    <t>S</t>
  </si>
  <si>
    <t>End of second epoch.</t>
  </si>
  <si>
    <t>End of third epoch.</t>
  </si>
  <si>
    <t>End of fourth epoch.</t>
  </si>
  <si>
    <t>End of fifth epoch.</t>
  </si>
  <si>
    <r>
      <t>x</t>
    </r>
    <r>
      <rPr>
        <b/>
        <vertAlign val="subscript"/>
        <sz val="10"/>
        <rFont val="Arial"/>
        <family val="2"/>
      </rPr>
      <t>0</t>
    </r>
  </si>
  <si>
    <r>
      <t>x</t>
    </r>
    <r>
      <rPr>
        <b/>
        <vertAlign val="subscript"/>
        <sz val="10"/>
        <rFont val="Arial"/>
        <family val="2"/>
      </rPr>
      <t>1</t>
    </r>
  </si>
  <si>
    <r>
      <t>x</t>
    </r>
    <r>
      <rPr>
        <b/>
        <vertAlign val="subscript"/>
        <sz val="10"/>
        <rFont val="Arial"/>
        <family val="2"/>
      </rPr>
      <t>2</t>
    </r>
  </si>
  <si>
    <r>
      <t>w</t>
    </r>
    <r>
      <rPr>
        <b/>
        <vertAlign val="subscript"/>
        <sz val="10"/>
        <rFont val="Arial"/>
        <family val="2"/>
      </rPr>
      <t>0</t>
    </r>
  </si>
  <si>
    <r>
      <t>w</t>
    </r>
    <r>
      <rPr>
        <b/>
        <vertAlign val="subscript"/>
        <sz val="10"/>
        <rFont val="Arial"/>
        <family val="2"/>
      </rPr>
      <t>1</t>
    </r>
  </si>
  <si>
    <r>
      <t>w</t>
    </r>
    <r>
      <rPr>
        <b/>
        <vertAlign val="subscript"/>
        <sz val="10"/>
        <rFont val="Arial"/>
        <family val="2"/>
      </rPr>
      <t>2</t>
    </r>
  </si>
  <si>
    <t>(errors)</t>
  </si>
  <si>
    <t>pattern1 :</t>
  </si>
  <si>
    <t>pattern 2 :</t>
  </si>
  <si>
    <t>pattern 3 :</t>
  </si>
  <si>
    <t>pattern 4 :</t>
  </si>
  <si>
    <t>(net)</t>
  </si>
  <si>
    <t>(output)</t>
  </si>
  <si>
    <t>(target)</t>
  </si>
  <si>
    <r>
      <t>X</t>
    </r>
    <r>
      <rPr>
        <sz val="10"/>
        <rFont val="Arial"/>
        <family val="2"/>
      </rPr>
      <t xml:space="preserve"> - input vector</t>
    </r>
  </si>
  <si>
    <r>
      <t xml:space="preserve"> vertical sum(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)  </t>
    </r>
    <r>
      <rPr>
        <b/>
        <sz val="10"/>
        <rFont val="Arial"/>
        <family val="2"/>
      </rPr>
      <t>=</t>
    </r>
  </si>
  <si>
    <r>
      <t xml:space="preserve">End of one </t>
    </r>
    <r>
      <rPr>
        <i/>
        <sz val="10"/>
        <color indexed="10"/>
        <rFont val="Arial"/>
        <family val="2"/>
      </rPr>
      <t>epoch.</t>
    </r>
  </si>
  <si>
    <t xml:space="preserve">vertical sum(S)  = </t>
  </si>
  <si>
    <t>(Boolean AND problem)</t>
  </si>
  <si>
    <t>X.W'</t>
  </si>
  <si>
    <t xml:space="preserve">      W=</t>
  </si>
  <si>
    <t>End of sixth epoch.</t>
  </si>
  <si>
    <r>
      <t>Initial weight vector W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=</t>
    </r>
  </si>
  <si>
    <r>
      <t xml:space="preserve">dw     = </t>
    </r>
    <r>
      <rPr>
        <b/>
        <i/>
        <sz val="10"/>
        <rFont val="Arial"/>
        <family val="2"/>
      </rPr>
      <t>η</t>
    </r>
    <r>
      <rPr>
        <sz val="10"/>
        <rFont val="Arial"/>
        <family val="2"/>
      </rPr>
      <t xml:space="preserve"> . S    =</t>
    </r>
  </si>
  <si>
    <t>dw     = η  . S    =</t>
  </si>
  <si>
    <r>
      <t xml:space="preserve">Because </t>
    </r>
    <r>
      <rPr>
        <b/>
        <i/>
        <sz val="10"/>
        <color indexed="30"/>
        <rFont val="Arial"/>
        <family val="2"/>
      </rPr>
      <t>S</t>
    </r>
    <r>
      <rPr>
        <sz val="10"/>
        <color indexed="30"/>
        <rFont val="Arial"/>
        <family val="2"/>
      </rPr>
      <t xml:space="preserve"> is not (0,0,0), repeat again starting with S = (0,0,0)</t>
    </r>
  </si>
  <si>
    <r>
      <t>w</t>
    </r>
    <r>
      <rPr>
        <vertAlign val="subscript"/>
        <sz val="10"/>
        <rFont val="Arial"/>
        <family val="2"/>
      </rPr>
      <t>new</t>
    </r>
    <r>
      <rPr>
        <sz val="10"/>
        <rFont val="Arial"/>
        <family val="2"/>
      </rPr>
      <t xml:space="preserve"> = w</t>
    </r>
    <r>
      <rPr>
        <vertAlign val="subscript"/>
        <sz val="10"/>
        <rFont val="Arial"/>
        <family val="2"/>
      </rPr>
      <t>old</t>
    </r>
    <r>
      <rPr>
        <sz val="10"/>
        <rFont val="Arial"/>
        <family val="2"/>
      </rPr>
      <t xml:space="preserve"> + ∆w =</t>
    </r>
  </si>
  <si>
    <r>
      <t>w</t>
    </r>
    <r>
      <rPr>
        <b/>
        <vertAlign val="subscript"/>
        <sz val="10"/>
        <rFont val="Arial"/>
        <family val="2"/>
      </rPr>
      <t>new</t>
    </r>
    <r>
      <rPr>
        <b/>
        <sz val="10"/>
        <rFont val="Arial"/>
        <family val="2"/>
      </rPr>
      <t xml:space="preserve"> = w</t>
    </r>
    <r>
      <rPr>
        <b/>
        <vertAlign val="subscript"/>
        <sz val="10"/>
        <rFont val="Arial"/>
        <family val="2"/>
      </rPr>
      <t>old</t>
    </r>
    <r>
      <rPr>
        <b/>
        <sz val="10"/>
        <rFont val="Arial"/>
        <family val="2"/>
      </rPr>
      <t xml:space="preserve"> + ∆w =</t>
    </r>
  </si>
  <si>
    <r>
      <t>S</t>
    </r>
    <r>
      <rPr>
        <sz val="10"/>
        <rFont val="Arial"/>
        <family val="2"/>
      </rPr>
      <t xml:space="preserve"> - misclassified patterns error vector</t>
    </r>
  </si>
  <si>
    <r>
      <t xml:space="preserve">Learning rate </t>
    </r>
    <r>
      <rPr>
        <b/>
        <i/>
        <sz val="12"/>
        <rFont val="Calibri"/>
        <family val="2"/>
      </rPr>
      <t>η</t>
    </r>
    <r>
      <rPr>
        <sz val="12"/>
        <rFont val="Arial"/>
        <family val="2"/>
      </rPr>
      <t xml:space="preserve"> </t>
    </r>
    <r>
      <rPr>
        <sz val="10"/>
        <rFont val="Arial"/>
        <family val="2"/>
      </rPr>
      <t xml:space="preserve">= </t>
    </r>
  </si>
  <si>
    <t>End of training:  S is (0,0,0).</t>
  </si>
  <si>
    <r>
      <t xml:space="preserve">  </t>
    </r>
    <r>
      <rPr>
        <b/>
        <sz val="12"/>
        <rFont val="Arial"/>
        <family val="2"/>
      </rPr>
      <t>Fixed-Increment Learning Algorithm (FILA)</t>
    </r>
    <r>
      <rPr>
        <sz val="12"/>
        <rFont val="Arial"/>
        <family val="2"/>
      </rPr>
      <t xml:space="preserve"> - Converging example (up to 6 epochs)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</si>
</sst>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charset val="204"/>
    </font>
    <font>
      <sz val="12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i/>
      <sz val="10"/>
      <color indexed="10"/>
      <name val="Arial"/>
      <family val="2"/>
    </font>
    <font>
      <b/>
      <sz val="12"/>
      <name val="Arial"/>
      <family val="2"/>
    </font>
    <font>
      <vertAlign val="subscript"/>
      <sz val="10"/>
      <name val="Arial"/>
      <family val="2"/>
    </font>
    <font>
      <sz val="10"/>
      <color indexed="30"/>
      <name val="Arial"/>
      <family val="2"/>
    </font>
    <font>
      <b/>
      <i/>
      <sz val="10"/>
      <name val="Arial"/>
      <family val="2"/>
    </font>
    <font>
      <b/>
      <i/>
      <sz val="10"/>
      <color indexed="30"/>
      <name val="Arial"/>
      <family val="2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i/>
      <sz val="12"/>
      <name val="Calibri"/>
      <family val="2"/>
    </font>
  </fonts>
  <fills count="12">
    <fill>
      <patternFill patternType="none"/>
    </fill>
    <fill>
      <patternFill patternType="gray125"/>
    </fill>
    <fill>
      <patternFill patternType="gray06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theme="0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0" xfId="0" applyFont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5" fillId="7" borderId="5" xfId="0" applyFont="1" applyFill="1" applyBorder="1"/>
    <xf numFmtId="0" fontId="5" fillId="7" borderId="6" xfId="0" applyFont="1" applyFill="1" applyBorder="1"/>
    <xf numFmtId="0" fontId="2" fillId="7" borderId="5" xfId="0" applyFont="1" applyFill="1" applyBorder="1"/>
    <xf numFmtId="0" fontId="5" fillId="0" borderId="0" xfId="0" applyFont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2" fillId="0" borderId="0" xfId="0" applyFont="1"/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3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 indent="1"/>
    </xf>
    <xf numFmtId="0" fontId="5" fillId="8" borderId="15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 vertical="top"/>
    </xf>
    <xf numFmtId="0" fontId="2" fillId="9" borderId="0" xfId="0" applyFont="1" applyFill="1"/>
    <xf numFmtId="0" fontId="5" fillId="7" borderId="0" xfId="0" applyFont="1" applyFill="1"/>
    <xf numFmtId="0" fontId="5" fillId="8" borderId="0" xfId="0" applyFont="1" applyFill="1" applyAlignment="1">
      <alignment horizontal="center"/>
    </xf>
    <xf numFmtId="0" fontId="5" fillId="10" borderId="0" xfId="0" applyFont="1" applyFill="1"/>
    <xf numFmtId="0" fontId="0" fillId="11" borderId="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5" fillId="11" borderId="9" xfId="0" applyFont="1" applyFill="1" applyBorder="1" applyAlignment="1">
      <alignment horizontal="center"/>
    </xf>
    <xf numFmtId="0" fontId="5" fillId="11" borderId="10" xfId="0" applyFont="1" applyFill="1" applyBorder="1" applyAlignment="1">
      <alignment horizontal="center"/>
    </xf>
    <xf numFmtId="0" fontId="5" fillId="11" borderId="11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5" fillId="11" borderId="12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11" borderId="15" xfId="0" applyFont="1" applyFill="1" applyBorder="1" applyAlignment="1">
      <alignment horizontal="center"/>
    </xf>
    <xf numFmtId="0" fontId="13" fillId="8" borderId="15" xfId="0" applyFont="1" applyFill="1" applyBorder="1" applyAlignment="1">
      <alignment horizontal="center"/>
    </xf>
    <xf numFmtId="0" fontId="14" fillId="8" borderId="15" xfId="0" applyFont="1" applyFill="1" applyBorder="1" applyAlignment="1">
      <alignment horizontal="center"/>
    </xf>
    <xf numFmtId="0" fontId="14" fillId="11" borderId="15" xfId="0" applyFont="1" applyFill="1" applyBorder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topLeftCell="A48" zoomScaleNormal="100" workbookViewId="0">
      <selection activeCell="L68" sqref="I68:L68"/>
    </sheetView>
  </sheetViews>
  <sheetFormatPr defaultRowHeight="12.5" x14ac:dyDescent="0.25"/>
  <cols>
    <col min="1" max="1" width="3.453125" customWidth="1"/>
    <col min="2" max="2" width="3.7265625" customWidth="1"/>
    <col min="3" max="3" width="3.1796875" customWidth="1"/>
    <col min="4" max="4" width="5.54296875" customWidth="1"/>
    <col min="5" max="6" width="5.453125" customWidth="1"/>
    <col min="7" max="7" width="7.1796875" customWidth="1"/>
    <col min="8" max="8" width="7.7265625" customWidth="1"/>
    <col min="9" max="9" width="8" customWidth="1"/>
    <col min="10" max="10" width="11" customWidth="1"/>
    <col min="11" max="11" width="11.26953125" customWidth="1"/>
    <col min="12" max="12" width="12.453125" customWidth="1"/>
  </cols>
  <sheetData>
    <row r="1" spans="1:12" s="1" customFormat="1" ht="18.75" customHeight="1" x14ac:dyDescent="0.35">
      <c r="A1" s="94" t="s">
        <v>40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s="1" customFormat="1" ht="14.25" customHeight="1" x14ac:dyDescent="0.35">
      <c r="G2" s="1" t="s">
        <v>27</v>
      </c>
    </row>
    <row r="3" spans="1:12" s="8" customFormat="1" ht="12" customHeight="1" x14ac:dyDescent="0.4">
      <c r="A3" s="8" t="s">
        <v>16</v>
      </c>
      <c r="D3" s="9"/>
      <c r="E3" s="9"/>
      <c r="G3" s="8" t="s">
        <v>31</v>
      </c>
      <c r="J3" s="23">
        <v>-0.35</v>
      </c>
      <c r="K3" s="23">
        <v>-0.3</v>
      </c>
      <c r="L3" s="23">
        <v>-0.2</v>
      </c>
    </row>
    <row r="4" spans="1:12" s="8" customFormat="1" ht="11.25" customHeight="1" x14ac:dyDescent="0.35">
      <c r="A4" s="8" t="s">
        <v>17</v>
      </c>
      <c r="D4" s="10"/>
      <c r="E4" s="10"/>
      <c r="H4" s="8" t="s">
        <v>38</v>
      </c>
      <c r="J4" s="64">
        <v>0.2</v>
      </c>
      <c r="K4" s="63"/>
    </row>
    <row r="5" spans="1:12" s="8" customFormat="1" ht="11.25" customHeight="1" x14ac:dyDescent="0.3">
      <c r="A5" s="8" t="s">
        <v>18</v>
      </c>
      <c r="D5" s="11"/>
      <c r="E5" s="11"/>
      <c r="H5" s="7" t="s">
        <v>23</v>
      </c>
    </row>
    <row r="6" spans="1:12" s="8" customFormat="1" ht="11.25" customHeight="1" x14ac:dyDescent="0.3">
      <c r="A6" s="8" t="s">
        <v>19</v>
      </c>
      <c r="D6" s="12"/>
      <c r="E6" s="12"/>
      <c r="H6" s="7" t="s">
        <v>37</v>
      </c>
    </row>
    <row r="7" spans="1:12" s="1" customFormat="1" ht="8.25" customHeight="1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s="1" customFormat="1" ht="11.25" customHeight="1" x14ac:dyDescent="0.35">
      <c r="A8" s="13"/>
      <c r="B8" s="14" t="s">
        <v>0</v>
      </c>
      <c r="C8" s="15"/>
      <c r="D8" s="13"/>
      <c r="E8" s="14" t="s">
        <v>1</v>
      </c>
      <c r="F8" s="15"/>
      <c r="G8" s="16" t="s">
        <v>28</v>
      </c>
      <c r="H8" s="16" t="s">
        <v>2</v>
      </c>
      <c r="I8" s="16" t="s">
        <v>3</v>
      </c>
      <c r="J8" s="17"/>
      <c r="K8" s="18" t="s">
        <v>4</v>
      </c>
      <c r="L8" s="19"/>
    </row>
    <row r="9" spans="1:12" ht="11.25" customHeight="1" x14ac:dyDescent="0.4">
      <c r="A9" s="4" t="s">
        <v>9</v>
      </c>
      <c r="B9" s="5" t="s">
        <v>10</v>
      </c>
      <c r="C9" s="6" t="s">
        <v>11</v>
      </c>
      <c r="D9" s="4" t="s">
        <v>12</v>
      </c>
      <c r="E9" s="5" t="s">
        <v>13</v>
      </c>
      <c r="F9" s="6" t="s">
        <v>14</v>
      </c>
      <c r="G9" s="3" t="s">
        <v>20</v>
      </c>
      <c r="H9" s="3" t="s">
        <v>21</v>
      </c>
      <c r="I9" s="3" t="s">
        <v>22</v>
      </c>
      <c r="J9" s="4"/>
      <c r="K9" s="5" t="s">
        <v>15</v>
      </c>
      <c r="L9" s="6"/>
    </row>
    <row r="10" spans="1:12" ht="11.25" customHeight="1" x14ac:dyDescent="0.25">
      <c r="A10" s="29">
        <v>1</v>
      </c>
      <c r="B10" s="30">
        <v>0</v>
      </c>
      <c r="C10" s="31">
        <v>0</v>
      </c>
      <c r="D10" s="71">
        <f>J3</f>
        <v>-0.35</v>
      </c>
      <c r="E10" s="72">
        <f>K3</f>
        <v>-0.3</v>
      </c>
      <c r="F10" s="73">
        <f>L3</f>
        <v>-0.2</v>
      </c>
      <c r="G10" s="74">
        <f>A10*D10+B10*E10+C10*F10</f>
        <v>-0.35</v>
      </c>
      <c r="H10" s="74">
        <f>IF(G10&gt;0, 1, 0)</f>
        <v>0</v>
      </c>
      <c r="I10" s="41">
        <v>0</v>
      </c>
      <c r="J10" s="77">
        <f>IF((I10-H10)&gt;0, A10, IF((I10-H10)&lt;0, -A10, 0))</f>
        <v>0</v>
      </c>
      <c r="K10" s="77">
        <f>IF((I10-H10)&gt;0, B10, IF((I10-H10)&lt;0, -B10, 0))</f>
        <v>0</v>
      </c>
      <c r="L10" s="77">
        <f>IF((I10-H10)&gt;0, C10, IF((I10-H10)&lt;0, -C10, 0))</f>
        <v>0</v>
      </c>
    </row>
    <row r="11" spans="1:12" ht="11.25" customHeight="1" x14ac:dyDescent="0.25">
      <c r="A11" s="32">
        <v>1</v>
      </c>
      <c r="B11" s="33">
        <v>1</v>
      </c>
      <c r="C11" s="34">
        <v>0</v>
      </c>
      <c r="D11" s="71">
        <f>J3</f>
        <v>-0.35</v>
      </c>
      <c r="E11" s="72">
        <f>K3</f>
        <v>-0.3</v>
      </c>
      <c r="F11" s="73">
        <f>L3</f>
        <v>-0.2</v>
      </c>
      <c r="G11" s="75">
        <f>A11*D11+B11*E11+C11*F11</f>
        <v>-0.64999999999999991</v>
      </c>
      <c r="H11" s="75">
        <f>IF(G11&gt;0,1,0)</f>
        <v>0</v>
      </c>
      <c r="I11" s="42">
        <v>0</v>
      </c>
      <c r="J11" s="77">
        <f>IF((I11-H11)&gt;0, A11, IF((I11-H11)&lt;0, -A11, 0))</f>
        <v>0</v>
      </c>
      <c r="K11" s="77">
        <f>IF((I11-H11)&gt;0, B11, IF((I11-H11)&lt;0, -B11, 0))</f>
        <v>0</v>
      </c>
      <c r="L11" s="77">
        <f>IF((I11-H11)&gt;0, C11, IF((I11-H11)&lt;0, -C11, 0))</f>
        <v>0</v>
      </c>
    </row>
    <row r="12" spans="1:12" ht="11.25" customHeight="1" x14ac:dyDescent="0.25">
      <c r="A12" s="35">
        <v>1</v>
      </c>
      <c r="B12" s="36">
        <v>0</v>
      </c>
      <c r="C12" s="37">
        <v>1</v>
      </c>
      <c r="D12" s="71">
        <f>J3</f>
        <v>-0.35</v>
      </c>
      <c r="E12" s="72">
        <f>K3</f>
        <v>-0.3</v>
      </c>
      <c r="F12" s="73">
        <f>L3</f>
        <v>-0.2</v>
      </c>
      <c r="G12" s="75">
        <f>A12*D12+B12*E12+C12*F12</f>
        <v>-0.55000000000000004</v>
      </c>
      <c r="H12" s="75">
        <f>IF(G12&gt;0,1,0)</f>
        <v>0</v>
      </c>
      <c r="I12" s="43">
        <v>0</v>
      </c>
      <c r="J12" s="77">
        <f>IF((I12-H12)&gt;0, A12, IF((I12-H12)&lt;0, -A12, 0))</f>
        <v>0</v>
      </c>
      <c r="K12" s="77">
        <f>IF((I12-H12)&gt;0, B12, IF((I12-H12)&lt;0, -B12, 0))</f>
        <v>0</v>
      </c>
      <c r="L12" s="77">
        <f>IF((I12-H12)&gt;0, C12, IF((I12-H12)&lt;0, -C12, 0))</f>
        <v>0</v>
      </c>
    </row>
    <row r="13" spans="1:12" ht="11.25" customHeight="1" x14ac:dyDescent="0.25">
      <c r="A13" s="38">
        <v>1</v>
      </c>
      <c r="B13" s="39">
        <v>1</v>
      </c>
      <c r="C13" s="40">
        <v>1</v>
      </c>
      <c r="D13" s="71">
        <f>J3</f>
        <v>-0.35</v>
      </c>
      <c r="E13" s="72">
        <f>K3</f>
        <v>-0.3</v>
      </c>
      <c r="F13" s="73">
        <f>L3</f>
        <v>-0.2</v>
      </c>
      <c r="G13" s="76">
        <f>A13*D13+B13*E13+C13*F13</f>
        <v>-0.84999999999999987</v>
      </c>
      <c r="H13" s="76">
        <f>IF(G13&gt;0,1,0)</f>
        <v>0</v>
      </c>
      <c r="I13" s="44">
        <v>1</v>
      </c>
      <c r="J13" s="77">
        <f>IF((I13-H13)&gt;0, A13, IF((I13-H13)&lt;0, -A13, 0))</f>
        <v>1</v>
      </c>
      <c r="K13" s="77">
        <f>IF((I13-H13)&gt;0, B13, IF((I13-H13)&lt;0, -B13, 0))</f>
        <v>1</v>
      </c>
      <c r="L13" s="77">
        <f>IF((I13-H13)&gt;0, C13, IF((I13-H13)&lt;0, -C13, 0))</f>
        <v>1</v>
      </c>
    </row>
    <row r="14" spans="1:12" s="1" customFormat="1" ht="11.25" customHeight="1" x14ac:dyDescent="0.35">
      <c r="A14" s="23"/>
      <c r="B14" s="23"/>
      <c r="C14" s="23"/>
      <c r="D14" s="23"/>
      <c r="E14" s="23"/>
      <c r="F14" s="28"/>
      <c r="G14" s="24"/>
      <c r="H14" s="25" t="s">
        <v>26</v>
      </c>
      <c r="I14" s="26"/>
      <c r="J14" s="92">
        <f>SUM(J10:J13)</f>
        <v>1</v>
      </c>
      <c r="K14" s="92">
        <f>SUM(K10:K13)</f>
        <v>1</v>
      </c>
      <c r="L14" s="92">
        <f>SUM(L10:L13)</f>
        <v>1</v>
      </c>
    </row>
    <row r="15" spans="1:12" s="1" customFormat="1" ht="11.25" customHeight="1" x14ac:dyDescent="0.35">
      <c r="A15" s="23"/>
      <c r="B15" s="23"/>
      <c r="C15" s="23"/>
      <c r="D15" s="23"/>
      <c r="E15" s="23"/>
      <c r="F15" s="28"/>
      <c r="G15" s="27"/>
      <c r="H15" s="25" t="s">
        <v>32</v>
      </c>
      <c r="I15" s="26"/>
      <c r="J15" s="65">
        <f>J4*J14</f>
        <v>0.2</v>
      </c>
      <c r="K15" s="65">
        <f>J4*K14</f>
        <v>0.2</v>
      </c>
      <c r="L15" s="65">
        <f>J4*L14</f>
        <v>0.2</v>
      </c>
    </row>
    <row r="16" spans="1:12" s="1" customFormat="1" ht="10.5" customHeight="1" x14ac:dyDescent="0.4">
      <c r="A16" s="23"/>
      <c r="B16" s="23"/>
      <c r="C16" s="23"/>
      <c r="D16" s="23"/>
      <c r="E16" s="23"/>
      <c r="F16" s="28"/>
      <c r="G16" s="27"/>
      <c r="H16" s="25" t="s">
        <v>35</v>
      </c>
      <c r="I16" s="26"/>
      <c r="J16" s="66">
        <f>D10+J15</f>
        <v>-0.14999999999999997</v>
      </c>
      <c r="K16" s="66">
        <f>E10+K15</f>
        <v>-9.9999999999999978E-2</v>
      </c>
      <c r="L16" s="66">
        <f>F10+L15</f>
        <v>0</v>
      </c>
    </row>
    <row r="17" spans="1:12" s="1" customFormat="1" ht="12.75" customHeight="1" x14ac:dyDescent="0.35">
      <c r="A17" s="2" t="s">
        <v>25</v>
      </c>
      <c r="B17" s="8"/>
      <c r="C17" s="8"/>
      <c r="D17" s="8"/>
      <c r="E17" s="45" t="s">
        <v>34</v>
      </c>
      <c r="F17" s="8"/>
      <c r="G17" s="8"/>
      <c r="H17" s="8"/>
      <c r="I17" s="8"/>
      <c r="J17" s="8"/>
      <c r="K17" s="8"/>
      <c r="L17" s="8"/>
    </row>
    <row r="18" spans="1:12" s="1" customFormat="1" ht="11.25" customHeight="1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s="1" customFormat="1" ht="11.25" customHeight="1" x14ac:dyDescent="0.35">
      <c r="A19" s="13"/>
      <c r="B19" s="14" t="s">
        <v>0</v>
      </c>
      <c r="C19" s="15"/>
      <c r="D19" s="13"/>
      <c r="E19" s="14" t="s">
        <v>1</v>
      </c>
      <c r="F19" s="15"/>
      <c r="G19" s="16" t="s">
        <v>28</v>
      </c>
      <c r="H19" s="16" t="s">
        <v>2</v>
      </c>
      <c r="I19" s="16" t="s">
        <v>3</v>
      </c>
      <c r="J19" s="17"/>
      <c r="K19" s="18" t="s">
        <v>4</v>
      </c>
      <c r="L19" s="19"/>
    </row>
    <row r="20" spans="1:12" ht="11.25" customHeight="1" x14ac:dyDescent="0.4">
      <c r="A20" s="4" t="s">
        <v>9</v>
      </c>
      <c r="B20" s="5" t="s">
        <v>10</v>
      </c>
      <c r="C20" s="6" t="s">
        <v>11</v>
      </c>
      <c r="D20" s="4" t="s">
        <v>12</v>
      </c>
      <c r="E20" s="5" t="s">
        <v>13</v>
      </c>
      <c r="F20" s="6" t="s">
        <v>14</v>
      </c>
      <c r="G20" s="3" t="s">
        <v>20</v>
      </c>
      <c r="H20" s="3" t="s">
        <v>21</v>
      </c>
      <c r="I20" s="3" t="s">
        <v>22</v>
      </c>
      <c r="J20" s="4"/>
      <c r="K20" s="5" t="s">
        <v>15</v>
      </c>
      <c r="L20" s="6"/>
    </row>
    <row r="21" spans="1:12" ht="11.25" customHeight="1" x14ac:dyDescent="0.25">
      <c r="A21" s="46">
        <v>1</v>
      </c>
      <c r="B21" s="47">
        <v>0</v>
      </c>
      <c r="C21" s="48">
        <v>0</v>
      </c>
      <c r="D21" s="78">
        <f>J16</f>
        <v>-0.14999999999999997</v>
      </c>
      <c r="E21" s="79">
        <f>K16</f>
        <v>-9.9999999999999978E-2</v>
      </c>
      <c r="F21" s="80">
        <f>L16</f>
        <v>0</v>
      </c>
      <c r="G21" s="81">
        <f>A21*D21+B21*E21+C21*F21</f>
        <v>-0.14999999999999997</v>
      </c>
      <c r="H21" s="81">
        <f>IF(G21&gt;0,1,0)</f>
        <v>0</v>
      </c>
      <c r="I21" s="49">
        <v>0</v>
      </c>
      <c r="J21" s="90">
        <f>IF((I21-H21)&gt;0, A21, IF((I21-H21)&lt;0, -A21, 0))</f>
        <v>0</v>
      </c>
      <c r="K21" s="90">
        <f>IF((I21-H21)&gt;0, B21, IF((I21-H21)&lt;0, -B21, 0))</f>
        <v>0</v>
      </c>
      <c r="L21" s="90">
        <f>IF((I21-H21)&gt;0, C21, IF((I21-H21)&lt;0, -C21, 0))</f>
        <v>0</v>
      </c>
    </row>
    <row r="22" spans="1:12" ht="11.25" customHeight="1" x14ac:dyDescent="0.25">
      <c r="A22" s="50">
        <v>1</v>
      </c>
      <c r="B22" s="51">
        <v>1</v>
      </c>
      <c r="C22" s="52">
        <v>0</v>
      </c>
      <c r="D22" s="82">
        <f>J16</f>
        <v>-0.14999999999999997</v>
      </c>
      <c r="E22" s="83">
        <f>K16</f>
        <v>-9.9999999999999978E-2</v>
      </c>
      <c r="F22" s="84">
        <f>L16</f>
        <v>0</v>
      </c>
      <c r="G22" s="85">
        <f>A22*D22+B22*E22+C22*F22</f>
        <v>-0.24999999999999994</v>
      </c>
      <c r="H22" s="85">
        <f>IF(G22&gt;0,1,0)</f>
        <v>0</v>
      </c>
      <c r="I22" s="53">
        <v>0</v>
      </c>
      <c r="J22" s="90">
        <f>IF((I22-H22)&gt;0, A22, IF((I22-H22)&lt;0, -A22, 0))</f>
        <v>0</v>
      </c>
      <c r="K22" s="90">
        <f>IF((I22-H22)&gt;0, B22, IF((I22-H22)&lt;0, -B22, 0))</f>
        <v>0</v>
      </c>
      <c r="L22" s="90">
        <f>IF((I22-H22)&gt;0, C22, IF((I22-H22)&lt;0, -C22, 0))</f>
        <v>0</v>
      </c>
    </row>
    <row r="23" spans="1:12" ht="11.25" customHeight="1" x14ac:dyDescent="0.25">
      <c r="A23" s="54">
        <v>1</v>
      </c>
      <c r="B23" s="55">
        <v>0</v>
      </c>
      <c r="C23" s="56">
        <v>1</v>
      </c>
      <c r="D23" s="82">
        <f>J16</f>
        <v>-0.14999999999999997</v>
      </c>
      <c r="E23" s="83">
        <f>K16</f>
        <v>-9.9999999999999978E-2</v>
      </c>
      <c r="F23" s="84">
        <f>L16</f>
        <v>0</v>
      </c>
      <c r="G23" s="85">
        <f>A23*D23+B23*E23+C23*F23</f>
        <v>-0.14999999999999997</v>
      </c>
      <c r="H23" s="85">
        <f>IF(G23&gt;0,1,0)</f>
        <v>0</v>
      </c>
      <c r="I23" s="57">
        <v>0</v>
      </c>
      <c r="J23" s="90">
        <f>IF((I23-H23)&gt;0, A23, IF((I23-H23)&lt;0, -A23, 0))</f>
        <v>0</v>
      </c>
      <c r="K23" s="90">
        <f>IF((I23-H23)&gt;0, B23, IF((I23-H23)&lt;0, -B23, 0))</f>
        <v>0</v>
      </c>
      <c r="L23" s="90">
        <f>IF((I23-H23)&gt;0, C23, IF((I23-H23)&lt;0, -C23, 0))</f>
        <v>0</v>
      </c>
    </row>
    <row r="24" spans="1:12" ht="11.25" customHeight="1" x14ac:dyDescent="0.25">
      <c r="A24" s="58">
        <v>1</v>
      </c>
      <c r="B24" s="59">
        <v>1</v>
      </c>
      <c r="C24" s="60">
        <v>1</v>
      </c>
      <c r="D24" s="86">
        <f>J16</f>
        <v>-0.14999999999999997</v>
      </c>
      <c r="E24" s="87">
        <f>K16</f>
        <v>-9.9999999999999978E-2</v>
      </c>
      <c r="F24" s="88">
        <f>L16</f>
        <v>0</v>
      </c>
      <c r="G24" s="89">
        <f>A24*D24+B24*E24+C24*F24</f>
        <v>-0.24999999999999994</v>
      </c>
      <c r="H24" s="89">
        <f>IF(G24&gt;0,1,0)</f>
        <v>0</v>
      </c>
      <c r="I24" s="61">
        <v>1</v>
      </c>
      <c r="J24" s="90">
        <f>IF((I24-H24)&gt;0, A24, IF((I24-H24)&lt;0, -A24, 0))</f>
        <v>1</v>
      </c>
      <c r="K24" s="90">
        <f>IF((I24-H24)&gt;0, B24, IF((I24-H24)&lt;0, -B24, 0))</f>
        <v>1</v>
      </c>
      <c r="L24" s="90">
        <f>IF((I24-H24)&gt;0, C24, IF((I24-H24)&lt;0, -C24, 0))</f>
        <v>1</v>
      </c>
    </row>
    <row r="25" spans="1:12" s="1" customFormat="1" ht="11.25" customHeight="1" x14ac:dyDescent="0.35">
      <c r="A25" s="8"/>
      <c r="B25" s="8"/>
      <c r="C25" s="8"/>
      <c r="D25" s="8"/>
      <c r="E25" s="8"/>
      <c r="F25" s="8"/>
      <c r="G25" s="20" t="s">
        <v>24</v>
      </c>
      <c r="H25" s="21"/>
      <c r="I25" s="21"/>
      <c r="J25" s="91">
        <f>SUM(J21:J24)</f>
        <v>1</v>
      </c>
      <c r="K25" s="91">
        <f>SUM(K21:K24)</f>
        <v>1</v>
      </c>
      <c r="L25" s="91">
        <f>SUM(L21:L24)</f>
        <v>1</v>
      </c>
    </row>
    <row r="26" spans="1:12" s="1" customFormat="1" ht="11.25" customHeight="1" x14ac:dyDescent="0.35">
      <c r="A26" s="8"/>
      <c r="B26" s="8"/>
      <c r="C26" s="8"/>
      <c r="D26" s="8"/>
      <c r="E26" s="8"/>
      <c r="F26" s="8"/>
      <c r="G26" s="22" t="s">
        <v>33</v>
      </c>
      <c r="H26" s="21"/>
      <c r="I26" s="21"/>
      <c r="J26" s="65">
        <f>J4*J25</f>
        <v>0.2</v>
      </c>
      <c r="K26" s="65">
        <f>J4*K25</f>
        <v>0.2</v>
      </c>
      <c r="L26" s="65">
        <f>J4*L25</f>
        <v>0.2</v>
      </c>
    </row>
    <row r="27" spans="1:12" s="1" customFormat="1" ht="12" customHeight="1" x14ac:dyDescent="0.4">
      <c r="A27" s="62" t="s">
        <v>5</v>
      </c>
      <c r="B27" s="8"/>
      <c r="C27" s="8"/>
      <c r="D27" s="8"/>
      <c r="E27" s="8"/>
      <c r="F27" s="8"/>
      <c r="G27" s="22" t="s">
        <v>36</v>
      </c>
      <c r="H27" s="21"/>
      <c r="I27" s="21"/>
      <c r="J27" s="65">
        <f>D21+J26</f>
        <v>5.0000000000000044E-2</v>
      </c>
      <c r="K27" s="65">
        <f>E21+K26</f>
        <v>0.10000000000000003</v>
      </c>
      <c r="L27" s="65">
        <f>F21+L26</f>
        <v>0.2</v>
      </c>
    </row>
    <row r="28" spans="1:12" ht="11.25" customHeight="1" x14ac:dyDescent="0.2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ht="11.25" customHeight="1" x14ac:dyDescent="0.3">
      <c r="A29" s="13"/>
      <c r="B29" s="14" t="s">
        <v>0</v>
      </c>
      <c r="C29" s="15"/>
      <c r="D29" s="13"/>
      <c r="E29" s="14" t="s">
        <v>1</v>
      </c>
      <c r="F29" s="15"/>
      <c r="G29" s="16" t="s">
        <v>28</v>
      </c>
      <c r="H29" s="16" t="s">
        <v>2</v>
      </c>
      <c r="I29" s="16" t="s">
        <v>3</v>
      </c>
      <c r="J29" s="17"/>
      <c r="K29" s="18" t="s">
        <v>4</v>
      </c>
      <c r="L29" s="19"/>
    </row>
    <row r="30" spans="1:12" ht="11.25" customHeight="1" x14ac:dyDescent="0.4">
      <c r="A30" s="4" t="s">
        <v>9</v>
      </c>
      <c r="B30" s="5" t="s">
        <v>10</v>
      </c>
      <c r="C30" s="6" t="s">
        <v>11</v>
      </c>
      <c r="D30" s="4" t="s">
        <v>12</v>
      </c>
      <c r="E30" s="5" t="s">
        <v>13</v>
      </c>
      <c r="F30" s="6" t="s">
        <v>14</v>
      </c>
      <c r="G30" s="3" t="s">
        <v>20</v>
      </c>
      <c r="H30" s="3" t="s">
        <v>21</v>
      </c>
      <c r="I30" s="3" t="s">
        <v>22</v>
      </c>
      <c r="J30" s="4"/>
      <c r="K30" s="5" t="s">
        <v>15</v>
      </c>
      <c r="L30" s="6"/>
    </row>
    <row r="31" spans="1:12" ht="11.25" customHeight="1" x14ac:dyDescent="0.25">
      <c r="A31" s="46">
        <v>1</v>
      </c>
      <c r="B31" s="47">
        <v>0</v>
      </c>
      <c r="C31" s="48">
        <v>0</v>
      </c>
      <c r="D31" s="78">
        <f>J27</f>
        <v>5.0000000000000044E-2</v>
      </c>
      <c r="E31" s="79">
        <f>K27</f>
        <v>0.10000000000000003</v>
      </c>
      <c r="F31" s="80">
        <f>L27</f>
        <v>0.2</v>
      </c>
      <c r="G31" s="81">
        <f>A31*D31+B31*E31+C31*F31</f>
        <v>5.0000000000000044E-2</v>
      </c>
      <c r="H31" s="81">
        <f>IF(G31&gt;0,1,0)</f>
        <v>1</v>
      </c>
      <c r="I31" s="49">
        <v>0</v>
      </c>
      <c r="J31" s="90">
        <f>IF((I31-H31)&gt;0, A31, IF((I31-H31)&lt;0, -A31, 0))</f>
        <v>-1</v>
      </c>
      <c r="K31" s="90">
        <f>IF((I31-H31)&gt;0, B31, IF((I31-H31)&lt;0, -B31, 0))</f>
        <v>0</v>
      </c>
      <c r="L31" s="90">
        <f>IF((I31-H31)&gt;0, C31, IF((I31-H31)&lt;0, -C31, 0))</f>
        <v>0</v>
      </c>
    </row>
    <row r="32" spans="1:12" ht="11.25" customHeight="1" x14ac:dyDescent="0.25">
      <c r="A32" s="50">
        <v>1</v>
      </c>
      <c r="B32" s="51">
        <v>1</v>
      </c>
      <c r="C32" s="52">
        <v>0</v>
      </c>
      <c r="D32" s="82">
        <f>J27</f>
        <v>5.0000000000000044E-2</v>
      </c>
      <c r="E32" s="83">
        <f>K27</f>
        <v>0.10000000000000003</v>
      </c>
      <c r="F32" s="84">
        <f>L27</f>
        <v>0.2</v>
      </c>
      <c r="G32" s="85">
        <f>A32*D32+B32*E32+C32*F32</f>
        <v>0.15000000000000008</v>
      </c>
      <c r="H32" s="85">
        <f>IF(G32&gt;0,1,0)</f>
        <v>1</v>
      </c>
      <c r="I32" s="53">
        <v>0</v>
      </c>
      <c r="J32" s="90">
        <f>IF((I32-H32)&gt;0, A32, IF((I32-H32)&lt;0, -A32, 0))</f>
        <v>-1</v>
      </c>
      <c r="K32" s="90">
        <f>IF((I32-H32)&gt;0, B32, IF((I32-H32)&lt;0, -B32, 0))</f>
        <v>-1</v>
      </c>
      <c r="L32" s="90">
        <f>IF((I32-H32)&gt;0, C32, IF((I32-H32)&lt;0, -C32, 0))</f>
        <v>0</v>
      </c>
    </row>
    <row r="33" spans="1:12" ht="11.25" customHeight="1" x14ac:dyDescent="0.25">
      <c r="A33" s="54">
        <v>1</v>
      </c>
      <c r="B33" s="55">
        <v>0</v>
      </c>
      <c r="C33" s="56">
        <v>1</v>
      </c>
      <c r="D33" s="82">
        <f>J27</f>
        <v>5.0000000000000044E-2</v>
      </c>
      <c r="E33" s="83">
        <f>K27</f>
        <v>0.10000000000000003</v>
      </c>
      <c r="F33" s="84">
        <f>L27</f>
        <v>0.2</v>
      </c>
      <c r="G33" s="85">
        <f>A33*D33+B33*E33+C33*F33</f>
        <v>0.25000000000000006</v>
      </c>
      <c r="H33" s="85">
        <f>IF(G33&gt;0,1,0)</f>
        <v>1</v>
      </c>
      <c r="I33" s="57">
        <v>0</v>
      </c>
      <c r="J33" s="90">
        <f>IF((I33-H33)&gt;0, A33, IF((I33-H33)&lt;0, -A33, 0))</f>
        <v>-1</v>
      </c>
      <c r="K33" s="90">
        <f>IF((I33-H33)&gt;0, B33, IF((I33-H33)&lt;0, -B33, 0))</f>
        <v>0</v>
      </c>
      <c r="L33" s="90">
        <f>IF((I33-H33)&gt;0, C33, IF((I33-H33)&lt;0, -C33, 0))</f>
        <v>-1</v>
      </c>
    </row>
    <row r="34" spans="1:12" ht="11.25" customHeight="1" x14ac:dyDescent="0.25">
      <c r="A34" s="58">
        <v>1</v>
      </c>
      <c r="B34" s="59">
        <v>1</v>
      </c>
      <c r="C34" s="60">
        <v>1</v>
      </c>
      <c r="D34" s="86">
        <f>J27</f>
        <v>5.0000000000000044E-2</v>
      </c>
      <c r="E34" s="87">
        <f>K27</f>
        <v>0.10000000000000003</v>
      </c>
      <c r="F34" s="88">
        <f>L27</f>
        <v>0.2</v>
      </c>
      <c r="G34" s="89">
        <f>A34*D34+B34*E34+C34*F34</f>
        <v>0.35000000000000009</v>
      </c>
      <c r="H34" s="89">
        <f>IF(G34&gt;0,1,0)</f>
        <v>1</v>
      </c>
      <c r="I34" s="61">
        <v>1</v>
      </c>
      <c r="J34" s="90">
        <f>IF((I34-H34)&gt;0, A34, IF((I34-H34)&lt;0, -A34, 0))</f>
        <v>0</v>
      </c>
      <c r="K34" s="90">
        <f>IF((I34-H34)&gt;0, B34, IF((I34-H34)&lt;0, -B34, 0))</f>
        <v>0</v>
      </c>
      <c r="L34" s="90">
        <f>IF((I34-H34)&gt;0, C34, IF((I34-H34)&lt;0, -C34, 0))</f>
        <v>0</v>
      </c>
    </row>
    <row r="35" spans="1:12" s="1" customFormat="1" ht="11.25" customHeight="1" x14ac:dyDescent="0.35">
      <c r="A35" s="8"/>
      <c r="B35" s="8"/>
      <c r="C35" s="8"/>
      <c r="D35" s="8"/>
      <c r="E35" s="8"/>
      <c r="F35" s="8"/>
      <c r="G35" s="20" t="s">
        <v>24</v>
      </c>
      <c r="H35" s="21"/>
      <c r="I35" s="21"/>
      <c r="J35" s="91">
        <f>SUM(J31:J34)</f>
        <v>-3</v>
      </c>
      <c r="K35" s="91">
        <f>SUM(K31:K34)</f>
        <v>-1</v>
      </c>
      <c r="L35" s="91">
        <f>SUM(L31:L34)</f>
        <v>-1</v>
      </c>
    </row>
    <row r="36" spans="1:12" s="1" customFormat="1" ht="10.5" customHeight="1" x14ac:dyDescent="0.35">
      <c r="A36" s="8"/>
      <c r="B36" s="8"/>
      <c r="C36" s="8"/>
      <c r="D36" s="8"/>
      <c r="E36" s="8"/>
      <c r="F36" s="8"/>
      <c r="G36" s="22" t="s">
        <v>33</v>
      </c>
      <c r="H36" s="21"/>
      <c r="I36" s="21"/>
      <c r="J36" s="65">
        <f>J4*J35</f>
        <v>-0.60000000000000009</v>
      </c>
      <c r="K36" s="65">
        <f>J4*K35</f>
        <v>-0.2</v>
      </c>
      <c r="L36" s="65">
        <f>J4*L35</f>
        <v>-0.2</v>
      </c>
    </row>
    <row r="37" spans="1:12" s="1" customFormat="1" ht="12" customHeight="1" x14ac:dyDescent="0.4">
      <c r="A37" s="62" t="s">
        <v>6</v>
      </c>
      <c r="B37" s="8"/>
      <c r="C37" s="8"/>
      <c r="D37" s="8"/>
      <c r="E37" s="8"/>
      <c r="F37" s="8"/>
      <c r="G37" s="22" t="s">
        <v>36</v>
      </c>
      <c r="H37" s="21"/>
      <c r="I37" s="21"/>
      <c r="J37" s="65">
        <f>D31+J36</f>
        <v>-0.55000000000000004</v>
      </c>
      <c r="K37" s="65">
        <f>E31+K36</f>
        <v>-9.9999999999999978E-2</v>
      </c>
      <c r="L37" s="65">
        <f>F31+L36</f>
        <v>0</v>
      </c>
    </row>
    <row r="38" spans="1:12" ht="11.25" customHeight="1" x14ac:dyDescent="0.25">
      <c r="A38" s="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ht="11.25" customHeight="1" x14ac:dyDescent="0.3">
      <c r="A39" s="13"/>
      <c r="B39" s="14" t="s">
        <v>0</v>
      </c>
      <c r="C39" s="15"/>
      <c r="D39" s="13"/>
      <c r="E39" s="14" t="s">
        <v>1</v>
      </c>
      <c r="F39" s="15"/>
      <c r="G39" s="16" t="s">
        <v>28</v>
      </c>
      <c r="H39" s="16" t="s">
        <v>2</v>
      </c>
      <c r="I39" s="16" t="s">
        <v>3</v>
      </c>
      <c r="J39" s="17"/>
      <c r="K39" s="18" t="s">
        <v>4</v>
      </c>
      <c r="L39" s="19"/>
    </row>
    <row r="40" spans="1:12" ht="11.25" customHeight="1" x14ac:dyDescent="0.4">
      <c r="A40" s="4" t="s">
        <v>9</v>
      </c>
      <c r="B40" s="5" t="s">
        <v>10</v>
      </c>
      <c r="C40" s="6" t="s">
        <v>11</v>
      </c>
      <c r="D40" s="4" t="s">
        <v>12</v>
      </c>
      <c r="E40" s="5" t="s">
        <v>13</v>
      </c>
      <c r="F40" s="6" t="s">
        <v>14</v>
      </c>
      <c r="G40" s="3" t="s">
        <v>20</v>
      </c>
      <c r="H40" s="3" t="s">
        <v>21</v>
      </c>
      <c r="I40" s="3" t="s">
        <v>22</v>
      </c>
      <c r="J40" s="4"/>
      <c r="K40" s="5" t="s">
        <v>15</v>
      </c>
      <c r="L40" s="6"/>
    </row>
    <row r="41" spans="1:12" ht="11.25" customHeight="1" x14ac:dyDescent="0.25">
      <c r="A41" s="46">
        <v>1</v>
      </c>
      <c r="B41" s="47">
        <v>0</v>
      </c>
      <c r="C41" s="48">
        <v>0</v>
      </c>
      <c r="D41" s="78">
        <f>J37</f>
        <v>-0.55000000000000004</v>
      </c>
      <c r="E41" s="79">
        <f>K37</f>
        <v>-9.9999999999999978E-2</v>
      </c>
      <c r="F41" s="80">
        <f>L37</f>
        <v>0</v>
      </c>
      <c r="G41" s="81">
        <f>A41*D41+B41*E41+C41*F41</f>
        <v>-0.55000000000000004</v>
      </c>
      <c r="H41" s="81">
        <f>IF(G41&gt;0,1,0)</f>
        <v>0</v>
      </c>
      <c r="I41" s="49">
        <v>0</v>
      </c>
      <c r="J41" s="90">
        <f>IF((I41-H41)&gt;0, A41, IF((I41-H41)&lt;0, -A41, 0))</f>
        <v>0</v>
      </c>
      <c r="K41" s="90">
        <f>IF((I41-H41)&gt;0, B41, IF((I41-H41)&lt;0, -B41, 0))</f>
        <v>0</v>
      </c>
      <c r="L41" s="90">
        <f>IF((I41-H41)&gt;0, C41, IF((I41-H41)&lt;0, -C41, 0))</f>
        <v>0</v>
      </c>
    </row>
    <row r="42" spans="1:12" ht="11.25" customHeight="1" x14ac:dyDescent="0.25">
      <c r="A42" s="50">
        <v>1</v>
      </c>
      <c r="B42" s="51">
        <v>1</v>
      </c>
      <c r="C42" s="52">
        <v>0</v>
      </c>
      <c r="D42" s="78">
        <f>J37</f>
        <v>-0.55000000000000004</v>
      </c>
      <c r="E42" s="79">
        <f>K37</f>
        <v>-9.9999999999999978E-2</v>
      </c>
      <c r="F42" s="80">
        <f>L37</f>
        <v>0</v>
      </c>
      <c r="G42" s="85">
        <f>A42*D42+B42*E42+C42*F42</f>
        <v>-0.65</v>
      </c>
      <c r="H42" s="85">
        <f>IF(G42&gt;0,1,0)</f>
        <v>0</v>
      </c>
      <c r="I42" s="53">
        <v>0</v>
      </c>
      <c r="J42" s="90">
        <f>IF((I42-H42)&gt;0, A42, IF((I42-H42)&lt;0, -A42, 0))</f>
        <v>0</v>
      </c>
      <c r="K42" s="90">
        <f>IF((I42-H42)&gt;0, B42, IF((I42-H42)&lt;0, -B42, 0))</f>
        <v>0</v>
      </c>
      <c r="L42" s="90">
        <f>IF((I42-H42)&gt;0, C42, IF((I42-H42)&lt;0, -C42, 0))</f>
        <v>0</v>
      </c>
    </row>
    <row r="43" spans="1:12" ht="11.25" customHeight="1" x14ac:dyDescent="0.25">
      <c r="A43" s="54">
        <v>1</v>
      </c>
      <c r="B43" s="55">
        <v>0</v>
      </c>
      <c r="C43" s="56">
        <v>1</v>
      </c>
      <c r="D43" s="78">
        <f>J37</f>
        <v>-0.55000000000000004</v>
      </c>
      <c r="E43" s="79">
        <f>K37</f>
        <v>-9.9999999999999978E-2</v>
      </c>
      <c r="F43" s="80">
        <f>L37</f>
        <v>0</v>
      </c>
      <c r="G43" s="85">
        <f>A43*D43+B43*E43+C43*F43</f>
        <v>-0.55000000000000004</v>
      </c>
      <c r="H43" s="85">
        <f>IF(G43&gt;0,1,0)</f>
        <v>0</v>
      </c>
      <c r="I43" s="57">
        <v>0</v>
      </c>
      <c r="J43" s="90">
        <f>IF((I43-H43)&gt;0, A43, IF((I43-H43)&lt;0, -A43, 0))</f>
        <v>0</v>
      </c>
      <c r="K43" s="90">
        <f>IF((I43-H43)&gt;0, B43, IF((I43-H43)&lt;0, -B43, 0))</f>
        <v>0</v>
      </c>
      <c r="L43" s="90">
        <f>IF((I43-H43)&gt;0, C43, IF((I43-H43)&lt;0, -C43, 0))</f>
        <v>0</v>
      </c>
    </row>
    <row r="44" spans="1:12" ht="11.25" customHeight="1" x14ac:dyDescent="0.25">
      <c r="A44" s="58">
        <v>1</v>
      </c>
      <c r="B44" s="59">
        <v>1</v>
      </c>
      <c r="C44" s="60">
        <v>1</v>
      </c>
      <c r="D44" s="78">
        <f>J37</f>
        <v>-0.55000000000000004</v>
      </c>
      <c r="E44" s="79">
        <f>K37</f>
        <v>-9.9999999999999978E-2</v>
      </c>
      <c r="F44" s="80">
        <f>L37</f>
        <v>0</v>
      </c>
      <c r="G44" s="89">
        <f>A44*D44+B44*E44+C44*F44</f>
        <v>-0.65</v>
      </c>
      <c r="H44" s="89">
        <f>IF(G44&gt;0,1,0)</f>
        <v>0</v>
      </c>
      <c r="I44" s="61">
        <v>1</v>
      </c>
      <c r="J44" s="90">
        <f>IF((I44-H44)&gt;0, A44, IF((I44-H44)&lt;0, -A44, 0))</f>
        <v>1</v>
      </c>
      <c r="K44" s="90">
        <f>IF((I44-H44)&gt;0, B44, IF((I44-H44)&lt;0, -B44, 0))</f>
        <v>1</v>
      </c>
      <c r="L44" s="90">
        <f>IF((I44-H44)&gt;0, C44, IF((I44-H44)&lt;0, -C44, 0))</f>
        <v>1</v>
      </c>
    </row>
    <row r="45" spans="1:12" s="1" customFormat="1" ht="11.25" customHeight="1" x14ac:dyDescent="0.35">
      <c r="A45" s="8"/>
      <c r="B45" s="8"/>
      <c r="C45" s="8"/>
      <c r="D45" s="8"/>
      <c r="E45" s="8"/>
      <c r="F45" s="8"/>
      <c r="G45" s="20" t="s">
        <v>24</v>
      </c>
      <c r="H45" s="21"/>
      <c r="I45" s="21"/>
      <c r="J45" s="91">
        <f>SUM(J41:J44)</f>
        <v>1</v>
      </c>
      <c r="K45" s="91">
        <f>SUM(K41:K44)</f>
        <v>1</v>
      </c>
      <c r="L45" s="91">
        <f>SUM(L41:L44)</f>
        <v>1</v>
      </c>
    </row>
    <row r="46" spans="1:12" s="1" customFormat="1" ht="11.25" customHeight="1" x14ac:dyDescent="0.35">
      <c r="A46" s="8"/>
      <c r="B46" s="8"/>
      <c r="C46" s="8"/>
      <c r="D46" s="8"/>
      <c r="E46" s="8"/>
      <c r="F46" s="8"/>
      <c r="G46" s="22" t="s">
        <v>33</v>
      </c>
      <c r="H46" s="21"/>
      <c r="I46" s="21"/>
      <c r="J46" s="65">
        <f>J4*J45</f>
        <v>0.2</v>
      </c>
      <c r="K46" s="65">
        <f>J4*K45</f>
        <v>0.2</v>
      </c>
      <c r="L46" s="65">
        <f>J4*L45</f>
        <v>0.2</v>
      </c>
    </row>
    <row r="47" spans="1:12" s="1" customFormat="1" ht="12.75" customHeight="1" x14ac:dyDescent="0.4">
      <c r="A47" s="62" t="s">
        <v>7</v>
      </c>
      <c r="B47" s="8"/>
      <c r="C47" s="8"/>
      <c r="D47" s="8"/>
      <c r="E47" s="8"/>
      <c r="F47" s="8"/>
      <c r="G47" s="22" t="s">
        <v>36</v>
      </c>
      <c r="H47" s="21"/>
      <c r="I47" s="21"/>
      <c r="J47" s="65">
        <f>D41+J46</f>
        <v>-0.35000000000000003</v>
      </c>
      <c r="K47" s="65">
        <f>E41+K46</f>
        <v>0.10000000000000003</v>
      </c>
      <c r="L47" s="65">
        <f>F41+L46</f>
        <v>0.2</v>
      </c>
    </row>
    <row r="48" spans="1:12" ht="11.25" customHeight="1" x14ac:dyDescent="0.25">
      <c r="A48" s="2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11.25" customHeight="1" x14ac:dyDescent="0.3">
      <c r="A49" s="13"/>
      <c r="B49" s="14" t="s">
        <v>0</v>
      </c>
      <c r="C49" s="15"/>
      <c r="D49" s="13"/>
      <c r="E49" s="14" t="s">
        <v>1</v>
      </c>
      <c r="F49" s="15"/>
      <c r="G49" s="16" t="s">
        <v>28</v>
      </c>
      <c r="H49" s="16" t="s">
        <v>2</v>
      </c>
      <c r="I49" s="16" t="s">
        <v>3</v>
      </c>
      <c r="J49" s="17"/>
      <c r="K49" s="18" t="s">
        <v>4</v>
      </c>
      <c r="L49" s="19"/>
    </row>
    <row r="50" spans="1:12" ht="11.25" customHeight="1" x14ac:dyDescent="0.4">
      <c r="A50" s="4" t="s">
        <v>9</v>
      </c>
      <c r="B50" s="5" t="s">
        <v>10</v>
      </c>
      <c r="C50" s="6" t="s">
        <v>11</v>
      </c>
      <c r="D50" s="4" t="s">
        <v>12</v>
      </c>
      <c r="E50" s="5" t="s">
        <v>13</v>
      </c>
      <c r="F50" s="6" t="s">
        <v>14</v>
      </c>
      <c r="G50" s="3" t="s">
        <v>20</v>
      </c>
      <c r="H50" s="3" t="s">
        <v>21</v>
      </c>
      <c r="I50" s="3" t="s">
        <v>22</v>
      </c>
      <c r="J50" s="4"/>
      <c r="K50" s="5" t="s">
        <v>15</v>
      </c>
      <c r="L50" s="6"/>
    </row>
    <row r="51" spans="1:12" ht="11.25" customHeight="1" x14ac:dyDescent="0.25">
      <c r="A51" s="46">
        <v>1</v>
      </c>
      <c r="B51" s="47">
        <v>0</v>
      </c>
      <c r="C51" s="48">
        <v>0</v>
      </c>
      <c r="D51" s="78">
        <f>J47</f>
        <v>-0.35000000000000003</v>
      </c>
      <c r="E51" s="79">
        <f>K47</f>
        <v>0.10000000000000003</v>
      </c>
      <c r="F51" s="80">
        <f>L47</f>
        <v>0.2</v>
      </c>
      <c r="G51" s="81">
        <f>A51*D51+B51*E51+C51*F51</f>
        <v>-0.35000000000000003</v>
      </c>
      <c r="H51" s="81">
        <f>IF(G51&gt;0,1,0)</f>
        <v>0</v>
      </c>
      <c r="I51" s="49">
        <v>0</v>
      </c>
      <c r="J51" s="90">
        <f>IF((I51-H51)&gt;0, A51, IF((I51-H51)&lt;0, -A51, 0))</f>
        <v>0</v>
      </c>
      <c r="K51" s="90">
        <f>IF((I51-H51)&gt;0, B51, IF((I51-H51)&lt;0, -B51, 0))</f>
        <v>0</v>
      </c>
      <c r="L51" s="90">
        <f>IF((I51-H51)&gt;0, C51, IF((I51-H51)&lt;0, -C51, 0))</f>
        <v>0</v>
      </c>
    </row>
    <row r="52" spans="1:12" ht="11.25" customHeight="1" x14ac:dyDescent="0.25">
      <c r="A52" s="50">
        <v>1</v>
      </c>
      <c r="B52" s="51">
        <v>1</v>
      </c>
      <c r="C52" s="52">
        <v>0</v>
      </c>
      <c r="D52" s="82">
        <f>J47</f>
        <v>-0.35000000000000003</v>
      </c>
      <c r="E52" s="83">
        <f>K47</f>
        <v>0.10000000000000003</v>
      </c>
      <c r="F52" s="84">
        <f>L47</f>
        <v>0.2</v>
      </c>
      <c r="G52" s="85">
        <f>A52*D52+B52*E52+C52*F52</f>
        <v>-0.25</v>
      </c>
      <c r="H52" s="85">
        <f>IF(G52&gt;0,1,0)</f>
        <v>0</v>
      </c>
      <c r="I52" s="53">
        <v>0</v>
      </c>
      <c r="J52" s="90">
        <f>IF((I52-H52)&gt;0, A52, IF((I52-H52)&lt;0, -A52, 0))</f>
        <v>0</v>
      </c>
      <c r="K52" s="90">
        <f>IF((I52-H52)&gt;0, B52, IF((I52-H52)&lt;0, -B52, 0))</f>
        <v>0</v>
      </c>
      <c r="L52" s="90">
        <f>IF((I52-H52)&gt;0, C52, IF((I52-H52)&lt;0, -C52, 0))</f>
        <v>0</v>
      </c>
    </row>
    <row r="53" spans="1:12" ht="11.25" customHeight="1" x14ac:dyDescent="0.25">
      <c r="A53" s="54">
        <v>1</v>
      </c>
      <c r="B53" s="55">
        <v>0</v>
      </c>
      <c r="C53" s="56">
        <v>1</v>
      </c>
      <c r="D53" s="82">
        <f>J47</f>
        <v>-0.35000000000000003</v>
      </c>
      <c r="E53" s="83">
        <f>K47</f>
        <v>0.10000000000000003</v>
      </c>
      <c r="F53" s="84">
        <f>L47</f>
        <v>0.2</v>
      </c>
      <c r="G53" s="85">
        <f>A53*D53+B53*E53+C53*F53</f>
        <v>-0.15000000000000002</v>
      </c>
      <c r="H53" s="85">
        <f>IF(G53&gt;0,1,0)</f>
        <v>0</v>
      </c>
      <c r="I53" s="57">
        <v>0</v>
      </c>
      <c r="J53" s="90">
        <f>IF((I53-H53)&gt;0, A53, IF((I53-H53)&lt;0, -A53, 0))</f>
        <v>0</v>
      </c>
      <c r="K53" s="90">
        <f>IF((I53-H53)&gt;0, B53, IF((I53-H53)&lt;0, -B53, 0))</f>
        <v>0</v>
      </c>
      <c r="L53" s="90">
        <f>IF((I53-H53)&gt;0, C53, IF((I53-H53)&lt;0, -C53, 0))</f>
        <v>0</v>
      </c>
    </row>
    <row r="54" spans="1:12" ht="11.25" customHeight="1" x14ac:dyDescent="0.25">
      <c r="A54" s="58">
        <v>1</v>
      </c>
      <c r="B54" s="59">
        <v>1</v>
      </c>
      <c r="C54" s="60">
        <v>1</v>
      </c>
      <c r="D54" s="86">
        <f>J47</f>
        <v>-0.35000000000000003</v>
      </c>
      <c r="E54" s="87">
        <f>K47</f>
        <v>0.10000000000000003</v>
      </c>
      <c r="F54" s="88">
        <f>L47</f>
        <v>0.2</v>
      </c>
      <c r="G54" s="89">
        <f>A54*D54+B54*E54+C54*F54</f>
        <v>-4.9999999999999989E-2</v>
      </c>
      <c r="H54" s="89">
        <f>IF(G54&gt;0,1,0)</f>
        <v>0</v>
      </c>
      <c r="I54" s="61">
        <v>1</v>
      </c>
      <c r="J54" s="90">
        <f>IF((I54-H54)&gt;0, A54, IF((I54-H54)&lt;0, -A54, 0))</f>
        <v>1</v>
      </c>
      <c r="K54" s="90">
        <f>IF((I54-H54)&gt;0, B54, IF((I54-H54)&lt;0, -B54, 0))</f>
        <v>1</v>
      </c>
      <c r="L54" s="90">
        <f>IF((I54-H54)&gt;0, C54, IF((I54-H54)&lt;0, -C54, 0))</f>
        <v>1</v>
      </c>
    </row>
    <row r="55" spans="1:12" s="1" customFormat="1" ht="11.25" customHeight="1" x14ac:dyDescent="0.35">
      <c r="A55" s="8"/>
      <c r="B55" s="8"/>
      <c r="C55" s="8"/>
      <c r="D55" s="8"/>
      <c r="E55" s="8"/>
      <c r="F55" s="8"/>
      <c r="G55" s="20" t="s">
        <v>24</v>
      </c>
      <c r="H55" s="21"/>
      <c r="I55" s="21"/>
      <c r="J55" s="91">
        <f>SUM(J51:J54)</f>
        <v>1</v>
      </c>
      <c r="K55" s="91">
        <f>SUM(K51:K54)</f>
        <v>1</v>
      </c>
      <c r="L55" s="91">
        <f>SUM(L51:L54)</f>
        <v>1</v>
      </c>
    </row>
    <row r="56" spans="1:12" s="1" customFormat="1" ht="11.25" customHeight="1" x14ac:dyDescent="0.35">
      <c r="A56" s="8"/>
      <c r="B56" s="8"/>
      <c r="C56" s="8"/>
      <c r="D56" s="8"/>
      <c r="E56" s="8"/>
      <c r="F56" s="8"/>
      <c r="G56" s="22" t="s">
        <v>33</v>
      </c>
      <c r="H56" s="21"/>
      <c r="I56" s="21"/>
      <c r="J56" s="65">
        <f>J4*J55</f>
        <v>0.2</v>
      </c>
      <c r="K56" s="65">
        <f>J4*K55</f>
        <v>0.2</v>
      </c>
      <c r="L56" s="65">
        <f>J4*L55</f>
        <v>0.2</v>
      </c>
    </row>
    <row r="57" spans="1:12" s="1" customFormat="1" ht="12" customHeight="1" x14ac:dyDescent="0.4">
      <c r="A57" s="62" t="s">
        <v>8</v>
      </c>
      <c r="B57" s="8"/>
      <c r="C57" s="8"/>
      <c r="D57" s="8"/>
      <c r="E57" s="8"/>
      <c r="F57" s="8"/>
      <c r="G57" s="22" t="s">
        <v>36</v>
      </c>
      <c r="H57" s="21"/>
      <c r="I57" s="21"/>
      <c r="J57" s="65">
        <f>D51+J56</f>
        <v>-0.15000000000000002</v>
      </c>
      <c r="K57" s="65">
        <f>E51+K56</f>
        <v>0.30000000000000004</v>
      </c>
      <c r="L57" s="65">
        <f>F51+L56</f>
        <v>0.4</v>
      </c>
    </row>
    <row r="58" spans="1:12" ht="11.25" customHeight="1" x14ac:dyDescent="0.25">
      <c r="A58" s="2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ht="11.25" customHeight="1" x14ac:dyDescent="0.3">
      <c r="A59" s="13"/>
      <c r="B59" s="14" t="s">
        <v>0</v>
      </c>
      <c r="C59" s="15"/>
      <c r="D59" s="13"/>
      <c r="E59" s="14" t="s">
        <v>1</v>
      </c>
      <c r="F59" s="15"/>
      <c r="G59" s="16" t="s">
        <v>28</v>
      </c>
      <c r="H59" s="16" t="s">
        <v>2</v>
      </c>
      <c r="I59" s="16" t="s">
        <v>3</v>
      </c>
      <c r="J59" s="17"/>
      <c r="K59" s="18" t="s">
        <v>4</v>
      </c>
      <c r="L59" s="19"/>
    </row>
    <row r="60" spans="1:12" ht="11.25" customHeight="1" x14ac:dyDescent="0.4">
      <c r="A60" s="4" t="s">
        <v>9</v>
      </c>
      <c r="B60" s="5" t="s">
        <v>10</v>
      </c>
      <c r="C60" s="6" t="s">
        <v>11</v>
      </c>
      <c r="D60" s="4" t="s">
        <v>12</v>
      </c>
      <c r="E60" s="5" t="s">
        <v>13</v>
      </c>
      <c r="F60" s="6" t="s">
        <v>14</v>
      </c>
      <c r="G60" s="3" t="s">
        <v>20</v>
      </c>
      <c r="H60" s="3" t="s">
        <v>21</v>
      </c>
      <c r="I60" s="3" t="s">
        <v>22</v>
      </c>
      <c r="J60" s="4"/>
      <c r="K60" s="5" t="s">
        <v>15</v>
      </c>
      <c r="L60" s="6"/>
    </row>
    <row r="61" spans="1:12" ht="11.25" customHeight="1" x14ac:dyDescent="0.25">
      <c r="A61" s="46">
        <v>1</v>
      </c>
      <c r="B61" s="47">
        <v>0</v>
      </c>
      <c r="C61" s="48">
        <v>0</v>
      </c>
      <c r="D61" s="78">
        <f>J57</f>
        <v>-0.15000000000000002</v>
      </c>
      <c r="E61" s="79">
        <f>K57</f>
        <v>0.30000000000000004</v>
      </c>
      <c r="F61" s="80">
        <f>L57</f>
        <v>0.4</v>
      </c>
      <c r="G61" s="81">
        <f>A61*D61+B61*E61+C61*F61</f>
        <v>-0.15000000000000002</v>
      </c>
      <c r="H61" s="81">
        <f>IF(G61&gt;0,1,0)</f>
        <v>0</v>
      </c>
      <c r="I61" s="49">
        <v>0</v>
      </c>
      <c r="J61" s="90">
        <f>IF((I61-H61)&gt;0, A61, IF((I61-H61)&lt;0, -A61, 0))</f>
        <v>0</v>
      </c>
      <c r="K61" s="90">
        <f>IF((I61-H61)&gt;0, B61, IF((I61-H61)&lt;0, -B61, 0))</f>
        <v>0</v>
      </c>
      <c r="L61" s="90">
        <f>IF((I61-H61)&gt;0, C61, IF((I61-H61)&lt;0, -C61, 0))</f>
        <v>0</v>
      </c>
    </row>
    <row r="62" spans="1:12" ht="11.25" customHeight="1" x14ac:dyDescent="0.25">
      <c r="A62" s="50">
        <v>1</v>
      </c>
      <c r="B62" s="51">
        <v>1</v>
      </c>
      <c r="C62" s="52">
        <v>0</v>
      </c>
      <c r="D62" s="82">
        <f>J57</f>
        <v>-0.15000000000000002</v>
      </c>
      <c r="E62" s="83">
        <f>K57</f>
        <v>0.30000000000000004</v>
      </c>
      <c r="F62" s="84">
        <f>L57</f>
        <v>0.4</v>
      </c>
      <c r="G62" s="85">
        <f>A62*D62+B62*E62+C62*F62</f>
        <v>0.15000000000000002</v>
      </c>
      <c r="H62" s="85">
        <f>IF(G62&gt;0,1,0)</f>
        <v>1</v>
      </c>
      <c r="I62" s="53">
        <v>0</v>
      </c>
      <c r="J62" s="90">
        <f>IF((I62-H62)&gt;0, A62, IF((I62-H62)&lt;0, -A62, 0))</f>
        <v>-1</v>
      </c>
      <c r="K62" s="90">
        <f>IF((I62-H62)&gt;0, B62, IF((I62-H62)&lt;0, -B62, 0))</f>
        <v>-1</v>
      </c>
      <c r="L62" s="90">
        <f>IF((I62-H62)&gt;0, C62, IF((I62-H62)&lt;0, -C62, 0))</f>
        <v>0</v>
      </c>
    </row>
    <row r="63" spans="1:12" ht="11.25" customHeight="1" x14ac:dyDescent="0.25">
      <c r="A63" s="54">
        <v>1</v>
      </c>
      <c r="B63" s="55">
        <v>0</v>
      </c>
      <c r="C63" s="56">
        <v>1</v>
      </c>
      <c r="D63" s="82">
        <f>J57</f>
        <v>-0.15000000000000002</v>
      </c>
      <c r="E63" s="83">
        <f>K57</f>
        <v>0.30000000000000004</v>
      </c>
      <c r="F63" s="84">
        <f>L57</f>
        <v>0.4</v>
      </c>
      <c r="G63" s="85">
        <f>A63*D63+B63*E63+C63*F63</f>
        <v>0.25</v>
      </c>
      <c r="H63" s="85">
        <f>IF(G63&gt;0,1,0)</f>
        <v>1</v>
      </c>
      <c r="I63" s="57">
        <v>0</v>
      </c>
      <c r="J63" s="90">
        <f>IF((I63-H63)&gt;0, A63, IF((I63-H63)&lt;0, -A63, 0))</f>
        <v>-1</v>
      </c>
      <c r="K63" s="90">
        <f>IF((I63-H63)&gt;0, B63, IF((I63-H63)&lt;0, -B63, 0))</f>
        <v>0</v>
      </c>
      <c r="L63" s="90">
        <f>IF((I63-H63)&gt;0, C63, IF((I63-H63)&lt;0, -C63, 0))</f>
        <v>-1</v>
      </c>
    </row>
    <row r="64" spans="1:12" ht="11.25" customHeight="1" x14ac:dyDescent="0.25">
      <c r="A64" s="58">
        <v>1</v>
      </c>
      <c r="B64" s="59">
        <v>1</v>
      </c>
      <c r="C64" s="60">
        <v>1</v>
      </c>
      <c r="D64" s="86">
        <f>J57</f>
        <v>-0.15000000000000002</v>
      </c>
      <c r="E64" s="87">
        <f>K57</f>
        <v>0.30000000000000004</v>
      </c>
      <c r="F64" s="88">
        <f>L57</f>
        <v>0.4</v>
      </c>
      <c r="G64" s="89">
        <f>A64*D64+B64*E64+C64*F64</f>
        <v>0.55000000000000004</v>
      </c>
      <c r="H64" s="89">
        <f>IF(G64&gt;0,1,0)</f>
        <v>1</v>
      </c>
      <c r="I64" s="61">
        <v>1</v>
      </c>
      <c r="J64" s="90">
        <f>IF((I64-H64)&gt;0, A64, IF((I64-H64)&lt;0, -A64, 0))</f>
        <v>0</v>
      </c>
      <c r="K64" s="90">
        <f>IF((I64-H64)&gt;0, B64, IF((I64-H64)&lt;0, -B64, 0))</f>
        <v>0</v>
      </c>
      <c r="L64" s="90">
        <f>IF((I64-H64)&gt;0, C64, IF((I64-H64)&lt;0, -C64, 0))</f>
        <v>0</v>
      </c>
    </row>
    <row r="65" spans="1:12" s="1" customFormat="1" ht="10.5" customHeight="1" x14ac:dyDescent="0.35">
      <c r="A65" s="8"/>
      <c r="B65" s="8"/>
      <c r="C65" s="8"/>
      <c r="D65" s="8"/>
      <c r="E65" s="8"/>
      <c r="F65" s="8"/>
      <c r="G65" s="20" t="s">
        <v>24</v>
      </c>
      <c r="H65" s="21"/>
      <c r="I65" s="21"/>
      <c r="J65" s="93">
        <f>SUM(J61:J64)</f>
        <v>-2</v>
      </c>
      <c r="K65" s="93">
        <f>SUM(K61:K64)</f>
        <v>-1</v>
      </c>
      <c r="L65" s="93">
        <f>SUM(L61:L64)</f>
        <v>-1</v>
      </c>
    </row>
    <row r="66" spans="1:12" s="1" customFormat="1" ht="9.75" customHeight="1" x14ac:dyDescent="0.35">
      <c r="A66" s="8"/>
      <c r="B66" s="8"/>
      <c r="C66" s="8"/>
      <c r="D66" s="8"/>
      <c r="E66" s="8"/>
      <c r="F66" s="8"/>
      <c r="G66" s="68"/>
      <c r="H66" s="68"/>
      <c r="I66" s="68"/>
      <c r="J66" s="69"/>
      <c r="K66" s="69"/>
      <c r="L66" s="69"/>
    </row>
    <row r="67" spans="1:12" ht="11.25" customHeight="1" x14ac:dyDescent="0.25">
      <c r="A67" s="2" t="s">
        <v>30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ht="13.5" customHeight="1" x14ac:dyDescent="0.3">
      <c r="A68" s="2" t="s">
        <v>39</v>
      </c>
      <c r="B68" s="8"/>
      <c r="C68" s="8"/>
      <c r="D68" s="8"/>
      <c r="E68" s="8"/>
      <c r="F68" s="8"/>
      <c r="G68" s="8"/>
      <c r="H68" s="67"/>
      <c r="I68" s="67" t="s">
        <v>29</v>
      </c>
      <c r="J68" s="70">
        <f>D64</f>
        <v>-0.15000000000000002</v>
      </c>
      <c r="K68" s="70">
        <f>E64</f>
        <v>0.30000000000000004</v>
      </c>
      <c r="L68" s="70">
        <f>F64</f>
        <v>0.4</v>
      </c>
    </row>
  </sheetData>
  <mergeCells count="1">
    <mergeCell ref="A1:L1"/>
  </mergeCells>
  <phoneticPr fontId="0" type="noConversion"/>
  <pageMargins left="0.74803149606299213" right="0.35433070866141736" top="0.78740157480314965" bottom="0.78740157480314965" header="0.51181102362204722" footer="0.51181102362204722"/>
  <pageSetup paperSize="9" orientation="portrait" r:id="rId1"/>
  <headerFooter alignWithMargins="0">
    <oddHeader>&amp;C&amp;"Arial,Bold"&amp;14Training a Perceptron to solve AND problem (batch mode)</oddHeader>
    <oddFooter>&amp;L&amp;"Times New Roman,Regular"NENGA (U13677)&amp;C&amp;"Times New Roman,Regular"Dr. I. Jordanov&amp;R&amp;"Times New Roman,Regular"&amp;P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Marusha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Frank Lin</cp:lastModifiedBy>
  <cp:lastPrinted>2008-02-27T16:47:25Z</cp:lastPrinted>
  <dcterms:created xsi:type="dcterms:W3CDTF">2002-02-10T15:51:04Z</dcterms:created>
  <dcterms:modified xsi:type="dcterms:W3CDTF">2026-02-12T22:50:05Z</dcterms:modified>
</cp:coreProperties>
</file>