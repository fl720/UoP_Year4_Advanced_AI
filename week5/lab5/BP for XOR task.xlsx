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frank\Desktop\Advanced_AI\week5\lab5\"/>
    </mc:Choice>
  </mc:AlternateContent>
  <xr:revisionPtr revIDLastSave="0" documentId="13_ncr:1_{4B0F8B5A-99CA-4A45-8B14-AAFEF1DA658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state="hidden" r:id="rId2"/>
    <sheet name="Sheet3" sheetId="3" state="hidden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" i="1" l="1"/>
  <c r="I51" i="1"/>
  <c r="H52" i="1"/>
  <c r="I52" i="1"/>
  <c r="H53" i="1"/>
  <c r="I53" i="1"/>
  <c r="H54" i="1"/>
  <c r="I54" i="1"/>
  <c r="G52" i="1"/>
  <c r="G53" i="1"/>
  <c r="G54" i="1"/>
  <c r="F51" i="1"/>
  <c r="F52" i="1"/>
  <c r="F53" i="1"/>
  <c r="F54" i="1"/>
  <c r="E52" i="1"/>
  <c r="E53" i="1"/>
  <c r="E54" i="1"/>
  <c r="D52" i="1"/>
  <c r="D53" i="1"/>
  <c r="D54" i="1"/>
  <c r="D51" i="1"/>
  <c r="C52" i="1"/>
  <c r="C53" i="1"/>
  <c r="C54" i="1"/>
  <c r="B52" i="1"/>
  <c r="B53" i="1"/>
  <c r="B54" i="1"/>
  <c r="A52" i="1"/>
  <c r="A53" i="1"/>
  <c r="A54" i="1"/>
  <c r="B51" i="1"/>
  <c r="I46" i="1"/>
  <c r="I45" i="1"/>
  <c r="I44" i="1"/>
  <c r="G46" i="1"/>
  <c r="G45" i="1"/>
  <c r="G44" i="1"/>
  <c r="G43" i="1"/>
  <c r="I43" i="1"/>
  <c r="H46" i="1"/>
  <c r="H45" i="1"/>
  <c r="H44" i="1"/>
  <c r="H43" i="1"/>
  <c r="F46" i="1"/>
  <c r="F45" i="1"/>
  <c r="F44" i="1"/>
  <c r="E46" i="1"/>
  <c r="E45" i="1"/>
  <c r="E44" i="1"/>
  <c r="E43" i="1"/>
  <c r="D46" i="1"/>
  <c r="D45" i="1"/>
  <c r="D44" i="1"/>
  <c r="D43" i="1"/>
  <c r="C46" i="1"/>
  <c r="C45" i="1"/>
  <c r="C44" i="1"/>
  <c r="B46" i="1"/>
  <c r="B45" i="1"/>
  <c r="B44" i="1"/>
  <c r="A46" i="1"/>
  <c r="A45" i="1"/>
  <c r="A44" i="1"/>
  <c r="C43" i="1"/>
  <c r="E35" i="1"/>
  <c r="E36" i="1"/>
  <c r="E37" i="1"/>
  <c r="E34" i="1"/>
  <c r="D34" i="1"/>
  <c r="D35" i="1"/>
  <c r="D36" i="1"/>
  <c r="D37" i="1"/>
  <c r="C35" i="1"/>
  <c r="C36" i="1"/>
  <c r="C37" i="1"/>
  <c r="H25" i="1"/>
  <c r="H26" i="1"/>
  <c r="H27" i="1"/>
  <c r="G25" i="1"/>
  <c r="G26" i="1"/>
  <c r="G27" i="1"/>
  <c r="M17" i="1"/>
  <c r="M18" i="1"/>
  <c r="M19" i="1"/>
  <c r="L17" i="1"/>
  <c r="L18" i="1"/>
  <c r="L19" i="1"/>
  <c r="K17" i="1"/>
  <c r="K18" i="1"/>
  <c r="K19" i="1"/>
  <c r="J17" i="1"/>
  <c r="J18" i="1"/>
  <c r="J19" i="1"/>
  <c r="F18" i="1"/>
  <c r="G18" i="1"/>
  <c r="H18" i="1"/>
  <c r="I18" i="1"/>
  <c r="F19" i="1"/>
  <c r="G19" i="1"/>
  <c r="H19" i="1"/>
  <c r="I19" i="1"/>
  <c r="G17" i="1"/>
  <c r="H17" i="1"/>
  <c r="I17" i="1"/>
  <c r="F17" i="1"/>
  <c r="E18" i="1"/>
  <c r="E19" i="1"/>
  <c r="E17" i="1"/>
  <c r="D19" i="1"/>
  <c r="D18" i="1"/>
  <c r="D17" i="1"/>
  <c r="H24" i="1"/>
  <c r="M16" i="1"/>
  <c r="L16" i="1"/>
  <c r="K16" i="1"/>
  <c r="A56" i="1"/>
  <c r="B56" i="1"/>
  <c r="C56" i="1"/>
  <c r="D56" i="1"/>
  <c r="E56" i="1"/>
  <c r="F56" i="1"/>
  <c r="G56" i="1"/>
  <c r="H56" i="1"/>
  <c r="I56" i="1"/>
  <c r="J16" i="1"/>
  <c r="A35" i="1" l="1"/>
  <c r="B35" i="1"/>
  <c r="A36" i="1"/>
  <c r="B36" i="1"/>
  <c r="A37" i="1"/>
  <c r="B37" i="1"/>
  <c r="B34" i="1"/>
  <c r="F27" i="1"/>
  <c r="F26" i="1"/>
  <c r="F25" i="1"/>
  <c r="E27" i="1"/>
  <c r="E26" i="1"/>
  <c r="E25" i="1"/>
  <c r="D27" i="1"/>
  <c r="D26" i="1"/>
  <c r="D25" i="1"/>
  <c r="B24" i="1"/>
  <c r="C24" i="1"/>
  <c r="A34" i="1"/>
  <c r="B27" i="1"/>
  <c r="C27" i="1"/>
  <c r="B26" i="1"/>
  <c r="C26" i="1"/>
  <c r="B25" i="1"/>
  <c r="C25" i="1"/>
  <c r="C34" i="1" l="1"/>
  <c r="A43" i="1" s="1"/>
  <c r="G51" i="1" s="1"/>
  <c r="G24" i="1"/>
  <c r="B43" i="1" l="1"/>
  <c r="E51" i="1"/>
  <c r="F43" i="1"/>
  <c r="C51" i="1" s="1"/>
  <c r="A51" i="1"/>
</calcChain>
</file>

<file path=xl/sharedStrings.xml><?xml version="1.0" encoding="utf-8"?>
<sst xmlns="http://schemas.openxmlformats.org/spreadsheetml/2006/main" count="39" uniqueCount="33">
  <si>
    <t>pattern1 :</t>
  </si>
  <si>
    <t>pattern 2 :</t>
  </si>
  <si>
    <t>pattern 3 :</t>
  </si>
  <si>
    <t>pattern 4 :</t>
  </si>
  <si>
    <t>Forward pass:</t>
  </si>
  <si>
    <t>End of one epoch.</t>
  </si>
  <si>
    <t>Backward pass:</t>
  </si>
  <si>
    <t>Input</t>
  </si>
  <si>
    <t xml:space="preserve">         </t>
  </si>
  <si>
    <t xml:space="preserve">          </t>
  </si>
  <si>
    <t xml:space="preserve">Learning rate  -        ;  Momentum - </t>
  </si>
  <si>
    <t>n=2 (input nodes) ;  m=2 (hidden nodes) ;  k=1  (output node)</t>
  </si>
  <si>
    <t xml:space="preserve">  </t>
  </si>
  <si>
    <t xml:space="preserve">Hidden to output layer: (step 6) </t>
  </si>
  <si>
    <t>Output to hidden layer: (step 7 and step 8)</t>
  </si>
  <si>
    <t xml:space="preserve">Updating the weights: </t>
  </si>
  <si>
    <t>target</t>
  </si>
  <si>
    <t>Hidden to input layer: (steps 9 and 10 - the momentum term will be 0 for the first epoch,</t>
  </si>
  <si>
    <t>1       1</t>
  </si>
  <si>
    <t>1       0</t>
  </si>
  <si>
    <t>0       1</t>
  </si>
  <si>
    <t>0       0</t>
  </si>
  <si>
    <t xml:space="preserve"> BP training of NN  to solve XOR problem (batch mode)</t>
  </si>
  <si>
    <t>In row 51 you should receive the following new weight values:</t>
  </si>
  <si>
    <t>Run one BP epoch using the data below (the BP algorithm from Lecture4).</t>
  </si>
  <si>
    <t>Input to Hidden layer: (steps 1 to 5 from the algorithm in Lecture4)</t>
  </si>
  <si>
    <t xml:space="preserve"> because there is no 'memory' from the previous epoch.)</t>
  </si>
  <si>
    <t>(what are the values in the following 3 rows?)</t>
  </si>
  <si>
    <t>There is also bias in the input and the hidden layers.</t>
  </si>
  <si>
    <t xml:space="preserve">    XOR</t>
  </si>
  <si>
    <r>
      <t xml:space="preserve">Weight matrix  </t>
    </r>
    <r>
      <rPr>
        <b/>
        <sz val="12"/>
        <color rgb="FF0070C0"/>
        <rFont val="Arial"/>
        <family val="2"/>
      </rPr>
      <t>W1</t>
    </r>
    <r>
      <rPr>
        <sz val="12"/>
        <rFont val="Arial"/>
        <family val="2"/>
      </rPr>
      <t xml:space="preserve">: input --&gt; hidden;  weight vector </t>
    </r>
    <r>
      <rPr>
        <b/>
        <sz val="12"/>
        <color rgb="FF0070C0"/>
        <rFont val="Arial"/>
        <family val="2"/>
      </rPr>
      <t>W2</t>
    </r>
    <r>
      <rPr>
        <sz val="12"/>
        <rFont val="Arial"/>
        <family val="2"/>
      </rPr>
      <t>: hidden --&gt; output</t>
    </r>
  </si>
  <si>
    <r>
      <t>Start the next epoch with the new weights (</t>
    </r>
    <r>
      <rPr>
        <b/>
        <sz val="10"/>
        <color rgb="FFFF0000"/>
        <rFont val="Arial"/>
        <family val="2"/>
      </rPr>
      <t>what will be their values</t>
    </r>
    <r>
      <rPr>
        <sz val="10"/>
        <rFont val="Arial"/>
        <family val="2"/>
      </rPr>
      <t xml:space="preserve">)?  </t>
    </r>
  </si>
  <si>
    <r>
      <rPr>
        <i/>
        <sz val="12"/>
        <rFont val="Arial"/>
        <family val="2"/>
      </rPr>
      <t xml:space="preserve">Logistic </t>
    </r>
    <r>
      <rPr>
        <sz val="12"/>
        <rFont val="Arial"/>
        <family val="2"/>
      </rPr>
      <t>(</t>
    </r>
    <r>
      <rPr>
        <i/>
        <sz val="12"/>
        <rFont val="Arial"/>
        <family val="2"/>
      </rPr>
      <t>Binary Sigmoid</t>
    </r>
    <r>
      <rPr>
        <sz val="12"/>
        <rFont val="Arial"/>
        <family val="2"/>
      </rPr>
      <t>) transfer function: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</si>
</sst>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6" x14ac:knownFonts="1">
    <font>
      <sz val="10"/>
      <name val="Arial"/>
      <charset val="204"/>
    </font>
    <font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u/>
      <sz val="12"/>
      <color indexed="10"/>
      <name val="Arial"/>
      <family val="2"/>
    </font>
    <font>
      <b/>
      <i/>
      <u/>
      <sz val="12"/>
      <name val="Arial"/>
      <family val="2"/>
    </font>
    <font>
      <b/>
      <sz val="16"/>
      <name val="Arial"/>
      <family val="2"/>
    </font>
    <font>
      <b/>
      <i/>
      <u/>
      <sz val="14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2"/>
      <color rgb="FF0070C0"/>
      <name val="Arial"/>
      <family val="2"/>
    </font>
    <font>
      <i/>
      <sz val="1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gray0625"/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2" borderId="0" xfId="0" applyFont="1" applyFill="1"/>
    <xf numFmtId="0" fontId="5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4" fillId="2" borderId="7" xfId="0" applyNumberFormat="1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6" borderId="6" xfId="0" applyFont="1" applyFill="1" applyBorder="1" applyAlignment="1">
      <alignment horizontal="center"/>
    </xf>
    <xf numFmtId="0" fontId="10" fillId="0" borderId="0" xfId="0" applyFont="1"/>
    <xf numFmtId="0" fontId="6" fillId="6" borderId="8" xfId="0" applyFont="1" applyFill="1" applyBorder="1" applyAlignment="1">
      <alignment horizontal="center"/>
    </xf>
    <xf numFmtId="0" fontId="6" fillId="0" borderId="0" xfId="0" applyFont="1"/>
    <xf numFmtId="176" fontId="4" fillId="7" borderId="7" xfId="0" applyNumberFormat="1" applyFont="1" applyFill="1" applyBorder="1"/>
    <xf numFmtId="177" fontId="0" fillId="7" borderId="1" xfId="0" applyNumberFormat="1" applyFill="1" applyBorder="1" applyAlignment="1">
      <alignment horizontal="center"/>
    </xf>
    <xf numFmtId="176" fontId="4" fillId="7" borderId="7" xfId="0" applyNumberFormat="1" applyFont="1" applyFill="1" applyBorder="1" applyAlignment="1">
      <alignment horizontal="center"/>
    </xf>
    <xf numFmtId="1" fontId="4" fillId="7" borderId="7" xfId="0" applyNumberFormat="1" applyFont="1" applyFill="1" applyBorder="1" applyAlignment="1">
      <alignment horizontal="center"/>
    </xf>
    <xf numFmtId="0" fontId="11" fillId="0" borderId="0" xfId="0" applyFont="1"/>
    <xf numFmtId="176" fontId="4" fillId="2" borderId="7" xfId="0" applyNumberFormat="1" applyFont="1" applyFill="1" applyBorder="1"/>
    <xf numFmtId="176" fontId="0" fillId="0" borderId="0" xfId="0" applyNumberFormat="1"/>
    <xf numFmtId="176" fontId="4" fillId="0" borderId="0" xfId="0" applyNumberFormat="1" applyFont="1" applyAlignment="1">
      <alignment horizontal="center"/>
    </xf>
    <xf numFmtId="176" fontId="4" fillId="9" borderId="7" xfId="0" applyNumberFormat="1" applyFont="1" applyFill="1" applyBorder="1"/>
    <xf numFmtId="176" fontId="4" fillId="9" borderId="7" xfId="0" applyNumberFormat="1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7" xfId="0" applyFont="1" applyFill="1" applyBorder="1" applyAlignment="1">
      <alignment horizontal="center"/>
    </xf>
    <xf numFmtId="0" fontId="4" fillId="12" borderId="0" xfId="0" applyFont="1" applyFill="1"/>
    <xf numFmtId="0" fontId="4" fillId="12" borderId="0" xfId="0" applyFont="1" applyFill="1" applyAlignment="1">
      <alignment horizontal="center"/>
    </xf>
    <xf numFmtId="0" fontId="4" fillId="12" borderId="7" xfId="0" applyFont="1" applyFill="1" applyBorder="1" applyAlignment="1">
      <alignment horizontal="center"/>
    </xf>
    <xf numFmtId="2" fontId="4" fillId="13" borderId="7" xfId="0" applyNumberFormat="1" applyFont="1" applyFill="1" applyBorder="1" applyAlignment="1">
      <alignment horizontal="center"/>
    </xf>
    <xf numFmtId="177" fontId="4" fillId="13" borderId="7" xfId="0" applyNumberFormat="1" applyFont="1" applyFill="1" applyBorder="1" applyAlignment="1">
      <alignment horizontal="center"/>
    </xf>
    <xf numFmtId="176" fontId="4" fillId="14" borderId="7" xfId="0" applyNumberFormat="1" applyFont="1" applyFill="1" applyBorder="1" applyAlignment="1">
      <alignment horizontal="center"/>
    </xf>
    <xf numFmtId="176" fontId="13" fillId="0" borderId="0" xfId="0" applyNumberFormat="1" applyFont="1" applyAlignment="1">
      <alignment horizontal="center"/>
    </xf>
    <xf numFmtId="176" fontId="0" fillId="15" borderId="0" xfId="0" applyNumberFormat="1" applyFill="1" applyAlignment="1">
      <alignment horizontal="center" vertical="center"/>
    </xf>
    <xf numFmtId="176" fontId="0" fillId="9" borderId="1" xfId="0" applyNumberFormat="1" applyFill="1" applyBorder="1" applyAlignment="1">
      <alignment horizontal="center"/>
    </xf>
    <xf numFmtId="176" fontId="4" fillId="13" borderId="7" xfId="0" applyNumberFormat="1" applyFont="1" applyFill="1" applyBorder="1" applyAlignment="1">
      <alignment horizontal="center"/>
    </xf>
    <xf numFmtId="176" fontId="4" fillId="0" borderId="0" xfId="0" applyNumberFormat="1" applyFont="1"/>
    <xf numFmtId="176" fontId="1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EBF1DE"/>
      <color rgb="FFE5F3E3"/>
      <color rgb="FFE1FFE1"/>
      <color rgb="FFCCFFCC"/>
      <color rgb="FFFF99CC"/>
      <color rgb="FFFFCC99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2</xdr:row>
      <xdr:rowOff>1104900</xdr:rowOff>
    </xdr:from>
    <xdr:to>
      <xdr:col>5</xdr:col>
      <xdr:colOff>438150</xdr:colOff>
      <xdr:row>2</xdr:row>
      <xdr:rowOff>1285875</xdr:rowOff>
    </xdr:to>
    <xdr:sp macro="" textlink="">
      <xdr:nvSpPr>
        <xdr:cNvPr id="2641" name="Oval 274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SpPr>
          <a:spLocks noChangeArrowheads="1"/>
        </xdr:cNvSpPr>
      </xdr:nvSpPr>
      <xdr:spPr bwMode="auto">
        <a:xfrm>
          <a:off x="3819525" y="1628775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257175</xdr:colOff>
      <xdr:row>2</xdr:row>
      <xdr:rowOff>1895475</xdr:rowOff>
    </xdr:from>
    <xdr:to>
      <xdr:col>5</xdr:col>
      <xdr:colOff>438150</xdr:colOff>
      <xdr:row>2</xdr:row>
      <xdr:rowOff>2076450</xdr:rowOff>
    </xdr:to>
    <xdr:sp macro="" textlink="">
      <xdr:nvSpPr>
        <xdr:cNvPr id="2642" name="Oval 275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SpPr>
          <a:spLocks noChangeArrowheads="1"/>
        </xdr:cNvSpPr>
      </xdr:nvSpPr>
      <xdr:spPr bwMode="auto">
        <a:xfrm>
          <a:off x="3819525" y="2419350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647700</xdr:colOff>
      <xdr:row>2</xdr:row>
      <xdr:rowOff>1362075</xdr:rowOff>
    </xdr:from>
    <xdr:to>
      <xdr:col>7</xdr:col>
      <xdr:colOff>114300</xdr:colOff>
      <xdr:row>2</xdr:row>
      <xdr:rowOff>1543050</xdr:rowOff>
    </xdr:to>
    <xdr:sp macro="" textlink="">
      <xdr:nvSpPr>
        <xdr:cNvPr id="2643" name="Oval 276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SpPr>
          <a:spLocks noChangeArrowheads="1"/>
        </xdr:cNvSpPr>
      </xdr:nvSpPr>
      <xdr:spPr bwMode="auto">
        <a:xfrm>
          <a:off x="4829175" y="1885950"/>
          <a:ext cx="190500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381000</xdr:colOff>
      <xdr:row>2</xdr:row>
      <xdr:rowOff>1200150</xdr:rowOff>
    </xdr:from>
    <xdr:to>
      <xdr:col>5</xdr:col>
      <xdr:colOff>266700</xdr:colOff>
      <xdr:row>2</xdr:row>
      <xdr:rowOff>1200150</xdr:rowOff>
    </xdr:to>
    <xdr:sp macro="" textlink="">
      <xdr:nvSpPr>
        <xdr:cNvPr id="2644" name="Line 277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SpPr>
          <a:spLocks noChangeShapeType="1"/>
        </xdr:cNvSpPr>
      </xdr:nvSpPr>
      <xdr:spPr bwMode="auto">
        <a:xfrm>
          <a:off x="2362200" y="1724025"/>
          <a:ext cx="1466850" cy="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381000</xdr:colOff>
      <xdr:row>2</xdr:row>
      <xdr:rowOff>1200150</xdr:rowOff>
    </xdr:from>
    <xdr:to>
      <xdr:col>5</xdr:col>
      <xdr:colOff>266700</xdr:colOff>
      <xdr:row>2</xdr:row>
      <xdr:rowOff>1962150</xdr:rowOff>
    </xdr:to>
    <xdr:sp macro="" textlink="">
      <xdr:nvSpPr>
        <xdr:cNvPr id="2645" name="Line 278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SpPr>
          <a:spLocks noChangeShapeType="1"/>
        </xdr:cNvSpPr>
      </xdr:nvSpPr>
      <xdr:spPr bwMode="auto">
        <a:xfrm>
          <a:off x="2362200" y="1724025"/>
          <a:ext cx="1466850" cy="76200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381000</xdr:colOff>
      <xdr:row>2</xdr:row>
      <xdr:rowOff>1219200</xdr:rowOff>
    </xdr:from>
    <xdr:to>
      <xdr:col>5</xdr:col>
      <xdr:colOff>257175</xdr:colOff>
      <xdr:row>2</xdr:row>
      <xdr:rowOff>1990725</xdr:rowOff>
    </xdr:to>
    <xdr:sp macro="" textlink="">
      <xdr:nvSpPr>
        <xdr:cNvPr id="2646" name="Line 279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SpPr>
          <a:spLocks noChangeShapeType="1"/>
        </xdr:cNvSpPr>
      </xdr:nvSpPr>
      <xdr:spPr bwMode="auto">
        <a:xfrm flipV="1">
          <a:off x="2362200" y="1743075"/>
          <a:ext cx="1457325" cy="7715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371475</xdr:colOff>
      <xdr:row>2</xdr:row>
      <xdr:rowOff>1971675</xdr:rowOff>
    </xdr:from>
    <xdr:to>
      <xdr:col>5</xdr:col>
      <xdr:colOff>257175</xdr:colOff>
      <xdr:row>2</xdr:row>
      <xdr:rowOff>1971675</xdr:rowOff>
    </xdr:to>
    <xdr:sp macro="" textlink="">
      <xdr:nvSpPr>
        <xdr:cNvPr id="2647" name="Line 280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SpPr>
          <a:spLocks noChangeShapeType="1"/>
        </xdr:cNvSpPr>
      </xdr:nvSpPr>
      <xdr:spPr bwMode="auto">
        <a:xfrm>
          <a:off x="2352675" y="2495550"/>
          <a:ext cx="1466850" cy="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419100</xdr:colOff>
      <xdr:row>2</xdr:row>
      <xdr:rowOff>1219200</xdr:rowOff>
    </xdr:from>
    <xdr:to>
      <xdr:col>6</xdr:col>
      <xdr:colOff>647700</xdr:colOff>
      <xdr:row>2</xdr:row>
      <xdr:rowOff>1457325</xdr:rowOff>
    </xdr:to>
    <xdr:sp macro="" textlink="">
      <xdr:nvSpPr>
        <xdr:cNvPr id="2648" name="Line 281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SpPr>
          <a:spLocks noChangeShapeType="1"/>
        </xdr:cNvSpPr>
      </xdr:nvSpPr>
      <xdr:spPr bwMode="auto">
        <a:xfrm>
          <a:off x="3981450" y="1743075"/>
          <a:ext cx="847725" cy="2381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447675</xdr:colOff>
      <xdr:row>2</xdr:row>
      <xdr:rowOff>1476375</xdr:rowOff>
    </xdr:from>
    <xdr:to>
      <xdr:col>6</xdr:col>
      <xdr:colOff>647700</xdr:colOff>
      <xdr:row>2</xdr:row>
      <xdr:rowOff>1971675</xdr:rowOff>
    </xdr:to>
    <xdr:sp macro="" textlink="">
      <xdr:nvSpPr>
        <xdr:cNvPr id="2649" name="Line 282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SpPr>
          <a:spLocks noChangeShapeType="1"/>
        </xdr:cNvSpPr>
      </xdr:nvSpPr>
      <xdr:spPr bwMode="auto">
        <a:xfrm flipV="1">
          <a:off x="4010025" y="2000250"/>
          <a:ext cx="819150" cy="49530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226695</xdr:colOff>
      <xdr:row>2</xdr:row>
      <xdr:rowOff>1085850</xdr:rowOff>
    </xdr:from>
    <xdr:to>
      <xdr:col>7</xdr:col>
      <xdr:colOff>403860</xdr:colOff>
      <xdr:row>2</xdr:row>
      <xdr:rowOff>1398270</xdr:rowOff>
    </xdr:to>
    <xdr:sp macro="" textlink="">
      <xdr:nvSpPr>
        <xdr:cNvPr id="1307" name="Rectangle 283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rrowheads="1"/>
        </xdr:cNvSpPr>
      </xdr:nvSpPr>
      <xdr:spPr bwMode="auto">
        <a:xfrm>
          <a:off x="5389245" y="1607820"/>
          <a:ext cx="177165" cy="312420"/>
        </a:xfrm>
        <a:prstGeom prst="rect">
          <a:avLst/>
        </a:prstGeom>
        <a:solidFill>
          <a:schemeClr val="bg2">
            <a:lumMod val="90000"/>
          </a:schemeClr>
        </a:solidFill>
        <a:ln w="9525">
          <a:solidFill>
            <a:schemeClr val="tx1"/>
          </a:solidFill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ctr" rtl="0">
            <a:defRPr sz="1000"/>
          </a:pPr>
          <a:r>
            <a:rPr lang="en-GB" sz="18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</a:p>
        <a:p>
          <a:pPr algn="ctr" rtl="0">
            <a:defRPr sz="1000"/>
          </a:pPr>
          <a:endParaRPr lang="en-GB" sz="1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552450</xdr:colOff>
      <xdr:row>2</xdr:row>
      <xdr:rowOff>2695575</xdr:rowOff>
    </xdr:from>
    <xdr:to>
      <xdr:col>12</xdr:col>
      <xdr:colOff>19050</xdr:colOff>
      <xdr:row>2</xdr:row>
      <xdr:rowOff>3171825</xdr:rowOff>
    </xdr:to>
    <xdr:sp macro="" textlink="">
      <xdr:nvSpPr>
        <xdr:cNvPr id="1308" name="Text Box 284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 txBox="1">
          <a:spLocks noChangeArrowheads="1"/>
        </xdr:cNvSpPr>
      </xdr:nvSpPr>
      <xdr:spPr bwMode="auto">
        <a:xfrm>
          <a:off x="1771650" y="3219450"/>
          <a:ext cx="523875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Fig. 1. NN architecture for solving XOR problem (2-2-1 plus bias nodes)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7</xdr:col>
      <xdr:colOff>123825</xdr:colOff>
      <xdr:row>2</xdr:row>
      <xdr:rowOff>1476375</xdr:rowOff>
    </xdr:from>
    <xdr:to>
      <xdr:col>7</xdr:col>
      <xdr:colOff>762000</xdr:colOff>
      <xdr:row>2</xdr:row>
      <xdr:rowOff>1476375</xdr:rowOff>
    </xdr:to>
    <xdr:sp macro="" textlink="">
      <xdr:nvSpPr>
        <xdr:cNvPr id="2652" name="Line 285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SpPr>
          <a:spLocks noChangeShapeType="1"/>
        </xdr:cNvSpPr>
      </xdr:nvSpPr>
      <xdr:spPr bwMode="auto">
        <a:xfrm>
          <a:off x="5029200" y="2000250"/>
          <a:ext cx="638175" cy="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428625</xdr:colOff>
      <xdr:row>2</xdr:row>
      <xdr:rowOff>733425</xdr:rowOff>
    </xdr:from>
    <xdr:to>
      <xdr:col>5</xdr:col>
      <xdr:colOff>295275</xdr:colOff>
      <xdr:row>2</xdr:row>
      <xdr:rowOff>1924050</xdr:rowOff>
    </xdr:to>
    <xdr:sp macro="" textlink="">
      <xdr:nvSpPr>
        <xdr:cNvPr id="2653" name="Line 286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SpPr>
          <a:spLocks noChangeShapeType="1"/>
        </xdr:cNvSpPr>
      </xdr:nvSpPr>
      <xdr:spPr bwMode="auto">
        <a:xfrm>
          <a:off x="2409825" y="1257300"/>
          <a:ext cx="1447800" cy="11906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419100</xdr:colOff>
      <xdr:row>2</xdr:row>
      <xdr:rowOff>733425</xdr:rowOff>
    </xdr:from>
    <xdr:to>
      <xdr:col>5</xdr:col>
      <xdr:colOff>257175</xdr:colOff>
      <xdr:row>2</xdr:row>
      <xdr:rowOff>1152525</xdr:rowOff>
    </xdr:to>
    <xdr:sp macro="" textlink="">
      <xdr:nvSpPr>
        <xdr:cNvPr id="2654" name="Line 287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SpPr>
          <a:spLocks noChangeShapeType="1"/>
        </xdr:cNvSpPr>
      </xdr:nvSpPr>
      <xdr:spPr bwMode="auto">
        <a:xfrm>
          <a:off x="2400300" y="1257300"/>
          <a:ext cx="1419225" cy="41910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457200</xdr:colOff>
      <xdr:row>2</xdr:row>
      <xdr:rowOff>742950</xdr:rowOff>
    </xdr:from>
    <xdr:to>
      <xdr:col>7</xdr:col>
      <xdr:colOff>9525</xdr:colOff>
      <xdr:row>2</xdr:row>
      <xdr:rowOff>1400175</xdr:rowOff>
    </xdr:to>
    <xdr:sp macro="" textlink="">
      <xdr:nvSpPr>
        <xdr:cNvPr id="2655" name="Line 288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SpPr>
          <a:spLocks noChangeShapeType="1"/>
        </xdr:cNvSpPr>
      </xdr:nvSpPr>
      <xdr:spPr bwMode="auto">
        <a:xfrm>
          <a:off x="4019550" y="1266825"/>
          <a:ext cx="895350" cy="6572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200025</xdr:colOff>
      <xdr:row>2</xdr:row>
      <xdr:rowOff>1104900</xdr:rowOff>
    </xdr:from>
    <xdr:to>
      <xdr:col>3</xdr:col>
      <xdr:colOff>381000</xdr:colOff>
      <xdr:row>2</xdr:row>
      <xdr:rowOff>1285875</xdr:rowOff>
    </xdr:to>
    <xdr:sp macro="" textlink="">
      <xdr:nvSpPr>
        <xdr:cNvPr id="2656" name="Oval 289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SpPr>
          <a:spLocks noChangeArrowheads="1"/>
        </xdr:cNvSpPr>
      </xdr:nvSpPr>
      <xdr:spPr bwMode="auto">
        <a:xfrm>
          <a:off x="2181225" y="1628775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200025</xdr:colOff>
      <xdr:row>2</xdr:row>
      <xdr:rowOff>1895475</xdr:rowOff>
    </xdr:from>
    <xdr:to>
      <xdr:col>3</xdr:col>
      <xdr:colOff>381000</xdr:colOff>
      <xdr:row>2</xdr:row>
      <xdr:rowOff>2076450</xdr:rowOff>
    </xdr:to>
    <xdr:sp macro="" textlink="">
      <xdr:nvSpPr>
        <xdr:cNvPr id="2657" name="Oval 290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SpPr>
          <a:spLocks noChangeArrowheads="1"/>
        </xdr:cNvSpPr>
      </xdr:nvSpPr>
      <xdr:spPr bwMode="auto">
        <a:xfrm>
          <a:off x="2181225" y="2419350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666750</xdr:colOff>
      <xdr:row>2</xdr:row>
      <xdr:rowOff>2286000</xdr:rowOff>
    </xdr:from>
    <xdr:to>
      <xdr:col>4</xdr:col>
      <xdr:colOff>180975</xdr:colOff>
      <xdr:row>2</xdr:row>
      <xdr:rowOff>2543175</xdr:rowOff>
    </xdr:to>
    <xdr:sp macro="" textlink="">
      <xdr:nvSpPr>
        <xdr:cNvPr id="1315" name="Text Box 291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 txBox="1">
          <a:spLocks noChangeArrowheads="1"/>
        </xdr:cNvSpPr>
      </xdr:nvSpPr>
      <xdr:spPr bwMode="auto">
        <a:xfrm>
          <a:off x="1885950" y="2809875"/>
          <a:ext cx="866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Input layer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13335</xdr:colOff>
      <xdr:row>2</xdr:row>
      <xdr:rowOff>2362200</xdr:rowOff>
    </xdr:from>
    <xdr:to>
      <xdr:col>6</xdr:col>
      <xdr:colOff>636270</xdr:colOff>
      <xdr:row>2</xdr:row>
      <xdr:rowOff>2619375</xdr:rowOff>
    </xdr:to>
    <xdr:sp macro="" textlink="">
      <xdr:nvSpPr>
        <xdr:cNvPr id="1316" name="Text Box 292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 txBox="1">
          <a:spLocks noChangeArrowheads="1"/>
        </xdr:cNvSpPr>
      </xdr:nvSpPr>
      <xdr:spPr bwMode="auto">
        <a:xfrm>
          <a:off x="3766185" y="2884170"/>
          <a:ext cx="127444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Hidden layer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504825</xdr:colOff>
      <xdr:row>2</xdr:row>
      <xdr:rowOff>2286000</xdr:rowOff>
    </xdr:from>
    <xdr:to>
      <xdr:col>8</xdr:col>
      <xdr:colOff>66675</xdr:colOff>
      <xdr:row>2</xdr:row>
      <xdr:rowOff>2543175</xdr:rowOff>
    </xdr:to>
    <xdr:sp macro="" textlink="">
      <xdr:nvSpPr>
        <xdr:cNvPr id="1317" name="Text Box 293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 txBox="1">
          <a:spLocks noChangeArrowheads="1"/>
        </xdr:cNvSpPr>
      </xdr:nvSpPr>
      <xdr:spPr bwMode="auto">
        <a:xfrm>
          <a:off x="4267200" y="2809875"/>
          <a:ext cx="9906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Output layer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190500</xdr:colOff>
      <xdr:row>2</xdr:row>
      <xdr:rowOff>514350</xdr:rowOff>
    </xdr:from>
    <xdr:to>
      <xdr:col>3</xdr:col>
      <xdr:colOff>428625</xdr:colOff>
      <xdr:row>2</xdr:row>
      <xdr:rowOff>771525</xdr:rowOff>
    </xdr:to>
    <xdr:sp macro="" textlink="">
      <xdr:nvSpPr>
        <xdr:cNvPr id="1318" name="Rectangle 294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rrowheads="1"/>
        </xdr:cNvSpPr>
      </xdr:nvSpPr>
      <xdr:spPr bwMode="auto">
        <a:xfrm>
          <a:off x="2171700" y="1038225"/>
          <a:ext cx="238125" cy="25717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800" b="0" i="0" strike="noStrike">
              <a:solidFill>
                <a:srgbClr val="000000"/>
              </a:solidFill>
              <a:latin typeface="Times New Roman"/>
              <a:cs typeface="Times New Roman"/>
            </a:rPr>
            <a:t> 1</a:t>
          </a:r>
        </a:p>
        <a:p>
          <a:pPr algn="l" rtl="0">
            <a:defRPr sz="1000"/>
          </a:pPr>
          <a:endParaRPr lang="en-GB" sz="1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219075</xdr:colOff>
      <xdr:row>2</xdr:row>
      <xdr:rowOff>514350</xdr:rowOff>
    </xdr:from>
    <xdr:to>
      <xdr:col>5</xdr:col>
      <xdr:colOff>457200</xdr:colOff>
      <xdr:row>2</xdr:row>
      <xdr:rowOff>771525</xdr:rowOff>
    </xdr:to>
    <xdr:sp macro="" textlink="">
      <xdr:nvSpPr>
        <xdr:cNvPr id="1319" name="Rectangle 295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rrowheads="1"/>
        </xdr:cNvSpPr>
      </xdr:nvSpPr>
      <xdr:spPr bwMode="auto">
        <a:xfrm>
          <a:off x="3362325" y="1038225"/>
          <a:ext cx="238125" cy="25717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800" b="0" i="0" strike="noStrike">
              <a:solidFill>
                <a:srgbClr val="000000"/>
              </a:solidFill>
              <a:latin typeface="Times New Roman"/>
              <a:cs typeface="Times New Roman"/>
            </a:rPr>
            <a:t> 1</a:t>
          </a:r>
        </a:p>
        <a:p>
          <a:pPr algn="l" rtl="0">
            <a:defRPr sz="1000"/>
          </a:pPr>
          <a:endParaRPr lang="en-GB" sz="1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419101</xdr:colOff>
      <xdr:row>2</xdr:row>
      <xdr:rowOff>771525</xdr:rowOff>
    </xdr:from>
    <xdr:to>
      <xdr:col>4</xdr:col>
      <xdr:colOff>720091</xdr:colOff>
      <xdr:row>2</xdr:row>
      <xdr:rowOff>990600</xdr:rowOff>
    </xdr:to>
    <xdr:sp macro="" textlink="">
      <xdr:nvSpPr>
        <xdr:cNvPr id="1320" name="Rectangle 296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rrowheads="1"/>
        </xdr:cNvSpPr>
      </xdr:nvSpPr>
      <xdr:spPr bwMode="auto">
        <a:xfrm>
          <a:off x="3329941" y="1293495"/>
          <a:ext cx="300990" cy="2190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chemeClr val="tx2"/>
              </a:solidFill>
              <a:latin typeface="Times New Roman"/>
              <a:cs typeface="Times New Roman"/>
            </a:rPr>
            <a:t>0.5</a:t>
          </a:r>
        </a:p>
        <a:p>
          <a:pPr algn="l" rtl="0">
            <a:defRPr sz="1000"/>
          </a:pPr>
          <a:endParaRPr lang="en-GB" sz="1400" b="0" i="0" strike="noStrike">
            <a:solidFill>
              <a:schemeClr val="tx2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219075</xdr:colOff>
      <xdr:row>2</xdr:row>
      <xdr:rowOff>838200</xdr:rowOff>
    </xdr:from>
    <xdr:to>
      <xdr:col>6</xdr:col>
      <xdr:colOff>485775</xdr:colOff>
      <xdr:row>2</xdr:row>
      <xdr:rowOff>1057275</xdr:rowOff>
    </xdr:to>
    <xdr:sp macro="" textlink="">
      <xdr:nvSpPr>
        <xdr:cNvPr id="1321" name="Rectangle 297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rrowheads="1"/>
        </xdr:cNvSpPr>
      </xdr:nvSpPr>
      <xdr:spPr bwMode="auto">
        <a:xfrm>
          <a:off x="3981450" y="1362075"/>
          <a:ext cx="266700" cy="2190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chemeClr val="tx2"/>
              </a:solidFill>
              <a:latin typeface="Times New Roman"/>
              <a:cs typeface="Times New Roman"/>
            </a:rPr>
            <a:t>0.4</a:t>
          </a:r>
        </a:p>
        <a:p>
          <a:pPr algn="l" rtl="0">
            <a:defRPr sz="1000"/>
          </a:pPr>
          <a:endParaRPr lang="en-GB" sz="1400" b="0" i="0" strike="noStrike">
            <a:solidFill>
              <a:schemeClr val="tx2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95250</xdr:colOff>
      <xdr:row>2</xdr:row>
      <xdr:rowOff>2028825</xdr:rowOff>
    </xdr:from>
    <xdr:to>
      <xdr:col>4</xdr:col>
      <xdr:colOff>514350</xdr:colOff>
      <xdr:row>2</xdr:row>
      <xdr:rowOff>2266950</xdr:rowOff>
    </xdr:to>
    <xdr:sp macro="" textlink="">
      <xdr:nvSpPr>
        <xdr:cNvPr id="1322" name="Rectangle 298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rrowheads="1"/>
        </xdr:cNvSpPr>
      </xdr:nvSpPr>
      <xdr:spPr bwMode="auto">
        <a:xfrm>
          <a:off x="2667000" y="2552700"/>
          <a:ext cx="419100" cy="2381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chemeClr val="tx2"/>
              </a:solidFill>
              <a:latin typeface="Times New Roman"/>
              <a:cs typeface="Times New Roman"/>
            </a:rPr>
            <a:t>-0.25</a:t>
          </a:r>
        </a:p>
        <a:p>
          <a:pPr algn="l" rtl="0">
            <a:defRPr sz="1000"/>
          </a:pPr>
          <a:endParaRPr lang="en-GB" sz="1400" b="0" i="0" strike="noStrike">
            <a:solidFill>
              <a:schemeClr val="tx2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784860</xdr:colOff>
      <xdr:row>2</xdr:row>
      <xdr:rowOff>1474470</xdr:rowOff>
    </xdr:from>
    <xdr:to>
      <xdr:col>5</xdr:col>
      <xdr:colOff>316230</xdr:colOff>
      <xdr:row>2</xdr:row>
      <xdr:rowOff>1712595</xdr:rowOff>
    </xdr:to>
    <xdr:sp macro="" textlink="">
      <xdr:nvSpPr>
        <xdr:cNvPr id="1323" name="Rectangle 299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rrowheads="1"/>
        </xdr:cNvSpPr>
      </xdr:nvSpPr>
      <xdr:spPr bwMode="auto">
        <a:xfrm>
          <a:off x="3695700" y="1996440"/>
          <a:ext cx="373380" cy="2381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chemeClr val="tx2"/>
              </a:solidFill>
              <a:latin typeface="Times New Roman"/>
              <a:cs typeface="Times New Roman"/>
            </a:rPr>
            <a:t>0.35</a:t>
          </a:r>
        </a:p>
        <a:p>
          <a:pPr algn="l" rtl="0">
            <a:defRPr sz="1000"/>
          </a:pPr>
          <a:endParaRPr lang="en-GB" sz="1400" b="0" i="0" strike="noStrike">
            <a:solidFill>
              <a:schemeClr val="tx2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171450</xdr:colOff>
      <xdr:row>2</xdr:row>
      <xdr:rowOff>1724025</xdr:rowOff>
    </xdr:from>
    <xdr:to>
      <xdr:col>6</xdr:col>
      <xdr:colOff>438150</xdr:colOff>
      <xdr:row>2</xdr:row>
      <xdr:rowOff>1943100</xdr:rowOff>
    </xdr:to>
    <xdr:sp macro="" textlink="">
      <xdr:nvSpPr>
        <xdr:cNvPr id="1324" name="Rectangle 300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rrowheads="1"/>
        </xdr:cNvSpPr>
      </xdr:nvSpPr>
      <xdr:spPr bwMode="auto">
        <a:xfrm>
          <a:off x="3933825" y="2247900"/>
          <a:ext cx="266700" cy="2190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chemeClr val="tx2"/>
              </a:solidFill>
              <a:latin typeface="Times New Roman"/>
              <a:cs typeface="Times New Roman"/>
            </a:rPr>
            <a:t>0.6</a:t>
          </a:r>
        </a:p>
        <a:p>
          <a:pPr algn="l" rtl="0">
            <a:defRPr sz="1000"/>
          </a:pPr>
          <a:endParaRPr lang="en-GB" sz="1400" b="0" i="0" strike="noStrike">
            <a:solidFill>
              <a:schemeClr val="tx2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123825</xdr:colOff>
      <xdr:row>2</xdr:row>
      <xdr:rowOff>1343025</xdr:rowOff>
    </xdr:from>
    <xdr:to>
      <xdr:col>6</xdr:col>
      <xdr:colOff>400050</xdr:colOff>
      <xdr:row>2</xdr:row>
      <xdr:rowOff>1562100</xdr:rowOff>
    </xdr:to>
    <xdr:sp macro="" textlink="">
      <xdr:nvSpPr>
        <xdr:cNvPr id="1325" name="Rectangle 301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rrowheads="1"/>
        </xdr:cNvSpPr>
      </xdr:nvSpPr>
      <xdr:spPr bwMode="auto">
        <a:xfrm>
          <a:off x="3886200" y="1866900"/>
          <a:ext cx="276225" cy="2190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chemeClr val="tx2"/>
              </a:solidFill>
              <a:latin typeface="Times New Roman"/>
              <a:cs typeface="Times New Roman"/>
            </a:rPr>
            <a:t>0.3</a:t>
          </a:r>
        </a:p>
        <a:p>
          <a:pPr algn="l" rtl="0">
            <a:defRPr sz="1000"/>
          </a:pPr>
          <a:endParaRPr lang="en-GB" sz="1400" b="0" i="0" strike="noStrike">
            <a:solidFill>
              <a:schemeClr val="tx2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371475</xdr:colOff>
      <xdr:row>2</xdr:row>
      <xdr:rowOff>952500</xdr:rowOff>
    </xdr:from>
    <xdr:to>
      <xdr:col>3</xdr:col>
      <xdr:colOff>681990</xdr:colOff>
      <xdr:row>2</xdr:row>
      <xdr:rowOff>1169670</xdr:rowOff>
    </xdr:to>
    <xdr:sp macro="" textlink="">
      <xdr:nvSpPr>
        <xdr:cNvPr id="1326" name="Rectangle 302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rrowheads="1"/>
        </xdr:cNvSpPr>
      </xdr:nvSpPr>
      <xdr:spPr bwMode="auto">
        <a:xfrm>
          <a:off x="2459355" y="1474470"/>
          <a:ext cx="310515" cy="21717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chemeClr val="tx2"/>
              </a:solidFill>
              <a:latin typeface="Times New Roman"/>
              <a:cs typeface="Times New Roman"/>
            </a:rPr>
            <a:t>0.2</a:t>
          </a:r>
        </a:p>
        <a:p>
          <a:pPr algn="l" rtl="0">
            <a:defRPr sz="1000"/>
          </a:pPr>
          <a:endParaRPr lang="en-GB" sz="1400" b="0" i="0" strike="noStrike">
            <a:solidFill>
              <a:schemeClr val="tx2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407670</xdr:colOff>
      <xdr:row>2</xdr:row>
      <xdr:rowOff>1323975</xdr:rowOff>
    </xdr:from>
    <xdr:to>
      <xdr:col>3</xdr:col>
      <xdr:colOff>739140</xdr:colOff>
      <xdr:row>2</xdr:row>
      <xdr:rowOff>1543050</xdr:rowOff>
    </xdr:to>
    <xdr:sp macro="" textlink="">
      <xdr:nvSpPr>
        <xdr:cNvPr id="1327" name="Rectangle 303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rrowheads="1"/>
        </xdr:cNvSpPr>
      </xdr:nvSpPr>
      <xdr:spPr bwMode="auto">
        <a:xfrm>
          <a:off x="2495550" y="1845945"/>
          <a:ext cx="331470" cy="2190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chemeClr val="tx2"/>
              </a:solidFill>
              <a:latin typeface="Times New Roman"/>
              <a:cs typeface="Times New Roman"/>
            </a:rPr>
            <a:t>-0.1</a:t>
          </a:r>
        </a:p>
        <a:p>
          <a:pPr algn="l" rtl="0">
            <a:defRPr sz="1000"/>
          </a:pPr>
          <a:endParaRPr lang="en-GB" sz="1400" b="0" i="0" strike="noStrike">
            <a:solidFill>
              <a:schemeClr val="tx2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285750</xdr:colOff>
      <xdr:row>2</xdr:row>
      <xdr:rowOff>1657350</xdr:rowOff>
    </xdr:from>
    <xdr:to>
      <xdr:col>3</xdr:col>
      <xdr:colOff>670560</xdr:colOff>
      <xdr:row>2</xdr:row>
      <xdr:rowOff>1876425</xdr:rowOff>
    </xdr:to>
    <xdr:sp macro="" textlink="">
      <xdr:nvSpPr>
        <xdr:cNvPr id="1328" name="Rectangle 304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rrowheads="1"/>
        </xdr:cNvSpPr>
      </xdr:nvSpPr>
      <xdr:spPr bwMode="auto">
        <a:xfrm>
          <a:off x="2373630" y="2179320"/>
          <a:ext cx="384810" cy="2190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chemeClr val="tx2"/>
              </a:solidFill>
              <a:latin typeface="Times New Roman"/>
              <a:cs typeface="Times New Roman"/>
            </a:rPr>
            <a:t>0.15</a:t>
          </a:r>
        </a:p>
        <a:p>
          <a:pPr algn="l" rtl="0">
            <a:defRPr sz="1000"/>
          </a:pPr>
          <a:endParaRPr lang="en-GB" sz="1400" b="0" i="0" strike="noStrike">
            <a:solidFill>
              <a:schemeClr val="tx2"/>
            </a:solidFill>
            <a:latin typeface="Times New Roman"/>
            <a:cs typeface="Times New Roman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69850</xdr:colOff>
          <xdr:row>40</xdr:row>
          <xdr:rowOff>31750</xdr:rowOff>
        </xdr:from>
        <xdr:to>
          <xdr:col>2</xdr:col>
          <xdr:colOff>685800</xdr:colOff>
          <xdr:row>40</xdr:row>
          <xdr:rowOff>514350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41</xdr:row>
          <xdr:rowOff>69850</xdr:rowOff>
        </xdr:from>
        <xdr:to>
          <xdr:col>0</xdr:col>
          <xdr:colOff>546100</xdr:colOff>
          <xdr:row>41</xdr:row>
          <xdr:rowOff>266700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41</xdr:row>
          <xdr:rowOff>69850</xdr:rowOff>
        </xdr:from>
        <xdr:to>
          <xdr:col>1</xdr:col>
          <xdr:colOff>450850</xdr:colOff>
          <xdr:row>41</xdr:row>
          <xdr:rowOff>266700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41</xdr:row>
          <xdr:rowOff>69850</xdr:rowOff>
        </xdr:from>
        <xdr:to>
          <xdr:col>2</xdr:col>
          <xdr:colOff>565150</xdr:colOff>
          <xdr:row>41</xdr:row>
          <xdr:rowOff>266700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393700</xdr:colOff>
          <xdr:row>40</xdr:row>
          <xdr:rowOff>38100</xdr:rowOff>
        </xdr:from>
        <xdr:to>
          <xdr:col>6</xdr:col>
          <xdr:colOff>698500</xdr:colOff>
          <xdr:row>40</xdr:row>
          <xdr:rowOff>527050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41</xdr:row>
          <xdr:rowOff>76200</xdr:rowOff>
        </xdr:from>
        <xdr:to>
          <xdr:col>3</xdr:col>
          <xdr:colOff>514350</xdr:colOff>
          <xdr:row>41</xdr:row>
          <xdr:rowOff>279400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41</xdr:row>
          <xdr:rowOff>76200</xdr:rowOff>
        </xdr:from>
        <xdr:to>
          <xdr:col>4</xdr:col>
          <xdr:colOff>514350</xdr:colOff>
          <xdr:row>41</xdr:row>
          <xdr:rowOff>279400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127000</xdr:colOff>
          <xdr:row>41</xdr:row>
          <xdr:rowOff>69850</xdr:rowOff>
        </xdr:from>
        <xdr:to>
          <xdr:col>5</xdr:col>
          <xdr:colOff>508000</xdr:colOff>
          <xdr:row>41</xdr:row>
          <xdr:rowOff>266700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41</xdr:row>
          <xdr:rowOff>76200</xdr:rowOff>
        </xdr:from>
        <xdr:to>
          <xdr:col>6</xdr:col>
          <xdr:colOff>641350</xdr:colOff>
          <xdr:row>41</xdr:row>
          <xdr:rowOff>279400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41</xdr:row>
          <xdr:rowOff>76200</xdr:rowOff>
        </xdr:from>
        <xdr:to>
          <xdr:col>7</xdr:col>
          <xdr:colOff>584200</xdr:colOff>
          <xdr:row>41</xdr:row>
          <xdr:rowOff>279400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41</xdr:row>
          <xdr:rowOff>76200</xdr:rowOff>
        </xdr:from>
        <xdr:to>
          <xdr:col>8</xdr:col>
          <xdr:colOff>431800</xdr:colOff>
          <xdr:row>41</xdr:row>
          <xdr:rowOff>279400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203200</xdr:colOff>
          <xdr:row>9</xdr:row>
          <xdr:rowOff>31750</xdr:rowOff>
        </xdr:from>
        <xdr:to>
          <xdr:col>4</xdr:col>
          <xdr:colOff>342900</xdr:colOff>
          <xdr:row>9</xdr:row>
          <xdr:rowOff>209550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6</xdr:row>
          <xdr:rowOff>88900</xdr:rowOff>
        </xdr:from>
        <xdr:to>
          <xdr:col>5</xdr:col>
          <xdr:colOff>469900</xdr:colOff>
          <xdr:row>7</xdr:row>
          <xdr:rowOff>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9</xdr:row>
          <xdr:rowOff>38100</xdr:rowOff>
        </xdr:from>
        <xdr:to>
          <xdr:col>5</xdr:col>
          <xdr:colOff>355600</xdr:colOff>
          <xdr:row>9</xdr:row>
          <xdr:rowOff>190500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298450</xdr:colOff>
          <xdr:row>6</xdr:row>
          <xdr:rowOff>107950</xdr:rowOff>
        </xdr:from>
        <xdr:to>
          <xdr:col>7</xdr:col>
          <xdr:colOff>457200</xdr:colOff>
          <xdr:row>6</xdr:row>
          <xdr:rowOff>260350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48</xdr:row>
          <xdr:rowOff>38100</xdr:rowOff>
        </xdr:from>
        <xdr:to>
          <xdr:col>4</xdr:col>
          <xdr:colOff>781050</xdr:colOff>
          <xdr:row>48</xdr:row>
          <xdr:rowOff>298450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203200</xdr:colOff>
          <xdr:row>49</xdr:row>
          <xdr:rowOff>69850</xdr:rowOff>
        </xdr:from>
        <xdr:to>
          <xdr:col>0</xdr:col>
          <xdr:colOff>495300</xdr:colOff>
          <xdr:row>49</xdr:row>
          <xdr:rowOff>266700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49</xdr:row>
          <xdr:rowOff>76200</xdr:rowOff>
        </xdr:from>
        <xdr:to>
          <xdr:col>1</xdr:col>
          <xdr:colOff>393700</xdr:colOff>
          <xdr:row>49</xdr:row>
          <xdr:rowOff>279400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49</xdr:row>
          <xdr:rowOff>76200</xdr:rowOff>
        </xdr:from>
        <xdr:to>
          <xdr:col>2</xdr:col>
          <xdr:colOff>552450</xdr:colOff>
          <xdr:row>49</xdr:row>
          <xdr:rowOff>279400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49</xdr:row>
          <xdr:rowOff>69850</xdr:rowOff>
        </xdr:from>
        <xdr:to>
          <xdr:col>3</xdr:col>
          <xdr:colOff>450850</xdr:colOff>
          <xdr:row>49</xdr:row>
          <xdr:rowOff>266700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49</xdr:row>
          <xdr:rowOff>76200</xdr:rowOff>
        </xdr:from>
        <xdr:to>
          <xdr:col>4</xdr:col>
          <xdr:colOff>419100</xdr:colOff>
          <xdr:row>49</xdr:row>
          <xdr:rowOff>279400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49</xdr:row>
          <xdr:rowOff>69850</xdr:rowOff>
        </xdr:from>
        <xdr:to>
          <xdr:col>5</xdr:col>
          <xdr:colOff>381000</xdr:colOff>
          <xdr:row>49</xdr:row>
          <xdr:rowOff>266700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49</xdr:row>
          <xdr:rowOff>69850</xdr:rowOff>
        </xdr:from>
        <xdr:to>
          <xdr:col>6</xdr:col>
          <xdr:colOff>508000</xdr:colOff>
          <xdr:row>49</xdr:row>
          <xdr:rowOff>266700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203200</xdr:colOff>
          <xdr:row>49</xdr:row>
          <xdr:rowOff>76200</xdr:rowOff>
        </xdr:from>
        <xdr:to>
          <xdr:col>7</xdr:col>
          <xdr:colOff>514350</xdr:colOff>
          <xdr:row>49</xdr:row>
          <xdr:rowOff>279400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49</xdr:row>
          <xdr:rowOff>76200</xdr:rowOff>
        </xdr:from>
        <xdr:to>
          <xdr:col>8</xdr:col>
          <xdr:colOff>450850</xdr:colOff>
          <xdr:row>49</xdr:row>
          <xdr:rowOff>279400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</xdr:row>
          <xdr:rowOff>31750</xdr:rowOff>
        </xdr:from>
        <xdr:to>
          <xdr:col>8</xdr:col>
          <xdr:colOff>19050</xdr:colOff>
          <xdr:row>48</xdr:row>
          <xdr:rowOff>514350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31750</xdr:colOff>
          <xdr:row>13</xdr:row>
          <xdr:rowOff>19050</xdr:rowOff>
        </xdr:from>
        <xdr:to>
          <xdr:col>10</xdr:col>
          <xdr:colOff>431800</xdr:colOff>
          <xdr:row>13</xdr:row>
          <xdr:rowOff>603250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14</xdr:row>
          <xdr:rowOff>19050</xdr:rowOff>
        </xdr:from>
        <xdr:to>
          <xdr:col>9</xdr:col>
          <xdr:colOff>285750</xdr:colOff>
          <xdr:row>14</xdr:row>
          <xdr:rowOff>222250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14</xdr:row>
          <xdr:rowOff>19050</xdr:rowOff>
        </xdr:from>
        <xdr:to>
          <xdr:col>10</xdr:col>
          <xdr:colOff>317500</xdr:colOff>
          <xdr:row>14</xdr:row>
          <xdr:rowOff>222250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31750</xdr:colOff>
          <xdr:row>13</xdr:row>
          <xdr:rowOff>12700</xdr:rowOff>
        </xdr:from>
        <xdr:to>
          <xdr:col>12</xdr:col>
          <xdr:colOff>552450</xdr:colOff>
          <xdr:row>13</xdr:row>
          <xdr:rowOff>571500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152400</xdr:colOff>
          <xdr:row>14</xdr:row>
          <xdr:rowOff>19050</xdr:rowOff>
        </xdr:from>
        <xdr:to>
          <xdr:col>11</xdr:col>
          <xdr:colOff>304800</xdr:colOff>
          <xdr:row>14</xdr:row>
          <xdr:rowOff>222250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107950</xdr:colOff>
          <xdr:row>14</xdr:row>
          <xdr:rowOff>19050</xdr:rowOff>
        </xdr:from>
        <xdr:to>
          <xdr:col>12</xdr:col>
          <xdr:colOff>266700</xdr:colOff>
          <xdr:row>14</xdr:row>
          <xdr:rowOff>222250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13</xdr:row>
          <xdr:rowOff>114300</xdr:rowOff>
        </xdr:from>
        <xdr:to>
          <xdr:col>1</xdr:col>
          <xdr:colOff>209550</xdr:colOff>
          <xdr:row>13</xdr:row>
          <xdr:rowOff>298450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450850</xdr:colOff>
          <xdr:row>13</xdr:row>
          <xdr:rowOff>114300</xdr:rowOff>
        </xdr:from>
        <xdr:to>
          <xdr:col>6</xdr:col>
          <xdr:colOff>107950</xdr:colOff>
          <xdr:row>13</xdr:row>
          <xdr:rowOff>298450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14</xdr:row>
          <xdr:rowOff>19050</xdr:rowOff>
        </xdr:from>
        <xdr:to>
          <xdr:col>0</xdr:col>
          <xdr:colOff>450850</xdr:colOff>
          <xdr:row>14</xdr:row>
          <xdr:rowOff>222250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14</xdr:row>
          <xdr:rowOff>19050</xdr:rowOff>
        </xdr:from>
        <xdr:to>
          <xdr:col>1</xdr:col>
          <xdr:colOff>450850</xdr:colOff>
          <xdr:row>14</xdr:row>
          <xdr:rowOff>222250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14</xdr:row>
          <xdr:rowOff>19050</xdr:rowOff>
        </xdr:from>
        <xdr:to>
          <xdr:col>2</xdr:col>
          <xdr:colOff>469900</xdr:colOff>
          <xdr:row>14</xdr:row>
          <xdr:rowOff>222250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14</xdr:row>
          <xdr:rowOff>19050</xdr:rowOff>
        </xdr:from>
        <xdr:to>
          <xdr:col>3</xdr:col>
          <xdr:colOff>457200</xdr:colOff>
          <xdr:row>14</xdr:row>
          <xdr:rowOff>222250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165100</xdr:colOff>
          <xdr:row>14</xdr:row>
          <xdr:rowOff>19050</xdr:rowOff>
        </xdr:from>
        <xdr:to>
          <xdr:col>4</xdr:col>
          <xdr:colOff>469900</xdr:colOff>
          <xdr:row>14</xdr:row>
          <xdr:rowOff>222250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146050</xdr:colOff>
          <xdr:row>14</xdr:row>
          <xdr:rowOff>19050</xdr:rowOff>
        </xdr:from>
        <xdr:to>
          <xdr:col>5</xdr:col>
          <xdr:colOff>438150</xdr:colOff>
          <xdr:row>14</xdr:row>
          <xdr:rowOff>222250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14</xdr:row>
          <xdr:rowOff>19050</xdr:rowOff>
        </xdr:from>
        <xdr:to>
          <xdr:col>6</xdr:col>
          <xdr:colOff>469900</xdr:colOff>
          <xdr:row>14</xdr:row>
          <xdr:rowOff>222250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222250</xdr:colOff>
          <xdr:row>14</xdr:row>
          <xdr:rowOff>19050</xdr:rowOff>
        </xdr:from>
        <xdr:to>
          <xdr:col>7</xdr:col>
          <xdr:colOff>514350</xdr:colOff>
          <xdr:row>14</xdr:row>
          <xdr:rowOff>222250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165100</xdr:colOff>
          <xdr:row>14</xdr:row>
          <xdr:rowOff>19050</xdr:rowOff>
        </xdr:from>
        <xdr:to>
          <xdr:col>8</xdr:col>
          <xdr:colOff>469900</xdr:colOff>
          <xdr:row>14</xdr:row>
          <xdr:rowOff>222250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21</xdr:row>
          <xdr:rowOff>31750</xdr:rowOff>
        </xdr:from>
        <xdr:to>
          <xdr:col>1</xdr:col>
          <xdr:colOff>400050</xdr:colOff>
          <xdr:row>21</xdr:row>
          <xdr:rowOff>209550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21</xdr:row>
          <xdr:rowOff>31750</xdr:rowOff>
        </xdr:from>
        <xdr:to>
          <xdr:col>4</xdr:col>
          <xdr:colOff>438150</xdr:colOff>
          <xdr:row>21</xdr:row>
          <xdr:rowOff>209550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260350</xdr:colOff>
          <xdr:row>22</xdr:row>
          <xdr:rowOff>31750</xdr:rowOff>
        </xdr:from>
        <xdr:to>
          <xdr:col>0</xdr:col>
          <xdr:colOff>419100</xdr:colOff>
          <xdr:row>22</xdr:row>
          <xdr:rowOff>228600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22</xdr:row>
          <xdr:rowOff>38100</xdr:rowOff>
        </xdr:from>
        <xdr:to>
          <xdr:col>1</xdr:col>
          <xdr:colOff>304800</xdr:colOff>
          <xdr:row>22</xdr:row>
          <xdr:rowOff>241300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22</xdr:row>
          <xdr:rowOff>31750</xdr:rowOff>
        </xdr:from>
        <xdr:to>
          <xdr:col>2</xdr:col>
          <xdr:colOff>419100</xdr:colOff>
          <xdr:row>22</xdr:row>
          <xdr:rowOff>228600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22</xdr:row>
          <xdr:rowOff>19050</xdr:rowOff>
        </xdr:from>
        <xdr:to>
          <xdr:col>3</xdr:col>
          <xdr:colOff>450850</xdr:colOff>
          <xdr:row>22</xdr:row>
          <xdr:rowOff>222250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22</xdr:row>
          <xdr:rowOff>19050</xdr:rowOff>
        </xdr:from>
        <xdr:to>
          <xdr:col>4</xdr:col>
          <xdr:colOff>419100</xdr:colOff>
          <xdr:row>22</xdr:row>
          <xdr:rowOff>222250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22</xdr:row>
          <xdr:rowOff>31750</xdr:rowOff>
        </xdr:from>
        <xdr:to>
          <xdr:col>5</xdr:col>
          <xdr:colOff>412750</xdr:colOff>
          <xdr:row>22</xdr:row>
          <xdr:rowOff>228600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</xdr:colOff>
          <xdr:row>21</xdr:row>
          <xdr:rowOff>31750</xdr:rowOff>
        </xdr:from>
        <xdr:to>
          <xdr:col>6</xdr:col>
          <xdr:colOff>698500</xdr:colOff>
          <xdr:row>22</xdr:row>
          <xdr:rowOff>260350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21</xdr:row>
          <xdr:rowOff>165100</xdr:rowOff>
        </xdr:from>
        <xdr:to>
          <xdr:col>8</xdr:col>
          <xdr:colOff>342900</xdr:colOff>
          <xdr:row>21</xdr:row>
          <xdr:rowOff>342900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31</xdr:row>
          <xdr:rowOff>228600</xdr:rowOff>
        </xdr:from>
        <xdr:to>
          <xdr:col>1</xdr:col>
          <xdr:colOff>285750</xdr:colOff>
          <xdr:row>31</xdr:row>
          <xdr:rowOff>412750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31</xdr:row>
          <xdr:rowOff>152400</xdr:rowOff>
        </xdr:from>
        <xdr:to>
          <xdr:col>2</xdr:col>
          <xdr:colOff>755650</xdr:colOff>
          <xdr:row>31</xdr:row>
          <xdr:rowOff>584200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31</xdr:row>
          <xdr:rowOff>76200</xdr:rowOff>
        </xdr:from>
        <xdr:to>
          <xdr:col>4</xdr:col>
          <xdr:colOff>762000</xdr:colOff>
          <xdr:row>31</xdr:row>
          <xdr:rowOff>660400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32</xdr:row>
          <xdr:rowOff>0</xdr:rowOff>
        </xdr:from>
        <xdr:to>
          <xdr:col>3</xdr:col>
          <xdr:colOff>381000</xdr:colOff>
          <xdr:row>32</xdr:row>
          <xdr:rowOff>203200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32</xdr:row>
          <xdr:rowOff>0</xdr:rowOff>
        </xdr:from>
        <xdr:to>
          <xdr:col>4</xdr:col>
          <xdr:colOff>361950</xdr:colOff>
          <xdr:row>32</xdr:row>
          <xdr:rowOff>203200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21</xdr:row>
          <xdr:rowOff>69850</xdr:rowOff>
        </xdr:from>
        <xdr:to>
          <xdr:col>7</xdr:col>
          <xdr:colOff>742950</xdr:colOff>
          <xdr:row>22</xdr:row>
          <xdr:rowOff>114300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31</xdr:row>
          <xdr:rowOff>69850</xdr:rowOff>
        </xdr:from>
        <xdr:to>
          <xdr:col>0</xdr:col>
          <xdr:colOff>742950</xdr:colOff>
          <xdr:row>31</xdr:row>
          <xdr:rowOff>527050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2</xdr:row>
          <xdr:rowOff>412750</xdr:rowOff>
        </xdr:from>
        <xdr:to>
          <xdr:col>4</xdr:col>
          <xdr:colOff>381000</xdr:colOff>
          <xdr:row>2</xdr:row>
          <xdr:rowOff>730250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476250</xdr:rowOff>
        </xdr:from>
        <xdr:to>
          <xdr:col>6</xdr:col>
          <xdr:colOff>406400</xdr:colOff>
          <xdr:row>2</xdr:row>
          <xdr:rowOff>793750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2</xdr:row>
          <xdr:rowOff>241300</xdr:rowOff>
        </xdr:from>
        <xdr:to>
          <xdr:col>3</xdr:col>
          <xdr:colOff>146050</xdr:colOff>
          <xdr:row>2</xdr:row>
          <xdr:rowOff>495300</xdr:rowOff>
        </xdr:to>
        <xdr:sp macro="" textlink="">
          <xdr:nvSpPr>
            <xdr:cNvPr id="1329" name="Object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EAEAEA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704850</xdr:colOff>
          <xdr:row>2</xdr:row>
          <xdr:rowOff>1079500</xdr:rowOff>
        </xdr:from>
        <xdr:to>
          <xdr:col>3</xdr:col>
          <xdr:colOff>95250</xdr:colOff>
          <xdr:row>2</xdr:row>
          <xdr:rowOff>1327150</xdr:rowOff>
        </xdr:to>
        <xdr:sp macro="" textlink="">
          <xdr:nvSpPr>
            <xdr:cNvPr id="1330" name="Object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EAEAEA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698500</xdr:colOff>
          <xdr:row>2</xdr:row>
          <xdr:rowOff>1860550</xdr:rowOff>
        </xdr:from>
        <xdr:to>
          <xdr:col>3</xdr:col>
          <xdr:colOff>114300</xdr:colOff>
          <xdr:row>2</xdr:row>
          <xdr:rowOff>2114550</xdr:rowOff>
        </xdr:to>
        <xdr:sp macro="" textlink="">
          <xdr:nvSpPr>
            <xdr:cNvPr id="1331" name="Object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EAEAEA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2</xdr:row>
          <xdr:rowOff>927100</xdr:rowOff>
        </xdr:from>
        <xdr:to>
          <xdr:col>5</xdr:col>
          <xdr:colOff>622300</xdr:colOff>
          <xdr:row>2</xdr:row>
          <xdr:rowOff>1200150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E6E6CE"/>
            </a:solidFill>
            <a:ln w="9525">
              <a:solidFill>
                <a:srgbClr val="DDDDDD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469900</xdr:colOff>
          <xdr:row>2</xdr:row>
          <xdr:rowOff>2032000</xdr:rowOff>
        </xdr:from>
        <xdr:to>
          <xdr:col>6</xdr:col>
          <xdr:colOff>19050</xdr:colOff>
          <xdr:row>2</xdr:row>
          <xdr:rowOff>2305050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E6E6CE"/>
            </a:solidFill>
            <a:ln w="9525">
              <a:solidFill>
                <a:srgbClr val="DDDDDD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2</xdr:row>
          <xdr:rowOff>152400</xdr:rowOff>
        </xdr:from>
        <xdr:to>
          <xdr:col>5</xdr:col>
          <xdr:colOff>501650</xdr:colOff>
          <xdr:row>2</xdr:row>
          <xdr:rowOff>469900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E6E6CE"/>
            </a:solidFill>
            <a:ln w="9525">
              <a:solidFill>
                <a:srgbClr val="C0C0C0" mc:Ignorable="a14" a14:legacySpreadsheetColorIndex="22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</xdr:colOff>
          <xdr:row>2</xdr:row>
          <xdr:rowOff>3117850</xdr:rowOff>
        </xdr:from>
        <xdr:to>
          <xdr:col>8</xdr:col>
          <xdr:colOff>450850</xdr:colOff>
          <xdr:row>4</xdr:row>
          <xdr:rowOff>254000</xdr:rowOff>
        </xdr:to>
        <xdr:sp macro="" textlink="">
          <xdr:nvSpPr>
            <xdr:cNvPr id="1709" name="Object 8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120650</xdr:colOff>
          <xdr:row>2</xdr:row>
          <xdr:rowOff>3168650</xdr:rowOff>
        </xdr:from>
        <xdr:to>
          <xdr:col>12</xdr:col>
          <xdr:colOff>260350</xdr:colOff>
          <xdr:row>4</xdr:row>
          <xdr:rowOff>196850</xdr:rowOff>
        </xdr:to>
        <xdr:sp macro="" textlink="">
          <xdr:nvSpPr>
            <xdr:cNvPr id="1741" name="Object 11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0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van/Teaching/2018-2019/NENGA/Labs/Lab5/BPforXOR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1">
          <cell r="A51">
            <v>0.49678641973308518</v>
          </cell>
          <cell r="B51">
            <v>0.34234033216008813</v>
          </cell>
          <cell r="C51">
            <v>0.19678641973308517</v>
          </cell>
          <cell r="D51">
            <v>-0.10765966783991184</v>
          </cell>
          <cell r="E51">
            <v>0.14678641973308515</v>
          </cell>
          <cell r="F51">
            <v>-0.25765966783991184</v>
          </cell>
          <cell r="G51">
            <v>0.34893554773392116</v>
          </cell>
          <cell r="H51">
            <v>0.26422592259395455</v>
          </cell>
          <cell r="I51">
            <v>0.57446777386696057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0.emf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1.bin"/><Relationship Id="rId47" Type="http://schemas.openxmlformats.org/officeDocument/2006/relationships/image" Target="../media/image21.emf"/><Relationship Id="rId63" Type="http://schemas.openxmlformats.org/officeDocument/2006/relationships/image" Target="../media/image29.emf"/><Relationship Id="rId68" Type="http://schemas.openxmlformats.org/officeDocument/2006/relationships/oleObject" Target="../embeddings/oleObject34.bin"/><Relationship Id="rId84" Type="http://schemas.openxmlformats.org/officeDocument/2006/relationships/oleObject" Target="../embeddings/oleObject45.bin"/><Relationship Id="rId89" Type="http://schemas.openxmlformats.org/officeDocument/2006/relationships/oleObject" Target="../embeddings/oleObject48.bin"/><Relationship Id="rId112" Type="http://schemas.openxmlformats.org/officeDocument/2006/relationships/oleObject" Target="../embeddings/oleObject62.bin"/><Relationship Id="rId16" Type="http://schemas.openxmlformats.org/officeDocument/2006/relationships/oleObject" Target="../embeddings/oleObject7.bin"/><Relationship Id="rId107" Type="http://schemas.openxmlformats.org/officeDocument/2006/relationships/oleObject" Target="../embeddings/oleObject59.bin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6.bin"/><Relationship Id="rId37" Type="http://schemas.openxmlformats.org/officeDocument/2006/relationships/image" Target="../media/image16.emf"/><Relationship Id="rId53" Type="http://schemas.openxmlformats.org/officeDocument/2006/relationships/image" Target="../media/image24.emf"/><Relationship Id="rId58" Type="http://schemas.openxmlformats.org/officeDocument/2006/relationships/oleObject" Target="../embeddings/oleObject29.bin"/><Relationship Id="rId74" Type="http://schemas.openxmlformats.org/officeDocument/2006/relationships/oleObject" Target="../embeddings/oleObject37.bin"/><Relationship Id="rId79" Type="http://schemas.openxmlformats.org/officeDocument/2006/relationships/oleObject" Target="../embeddings/oleObject41.bin"/><Relationship Id="rId102" Type="http://schemas.openxmlformats.org/officeDocument/2006/relationships/image" Target="../media/image43.emf"/><Relationship Id="rId123" Type="http://schemas.openxmlformats.org/officeDocument/2006/relationships/image" Target="../media/image53.emf"/><Relationship Id="rId128" Type="http://schemas.openxmlformats.org/officeDocument/2006/relationships/oleObject" Target="../embeddings/oleObject70.bin"/><Relationship Id="rId5" Type="http://schemas.openxmlformats.org/officeDocument/2006/relationships/image" Target="../media/image1.emf"/><Relationship Id="rId90" Type="http://schemas.openxmlformats.org/officeDocument/2006/relationships/image" Target="../media/image39.emf"/><Relationship Id="rId95" Type="http://schemas.openxmlformats.org/officeDocument/2006/relationships/image" Target="../media/image40.emf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43" Type="http://schemas.openxmlformats.org/officeDocument/2006/relationships/image" Target="../media/image19.emf"/><Relationship Id="rId48" Type="http://schemas.openxmlformats.org/officeDocument/2006/relationships/oleObject" Target="../embeddings/oleObject24.bin"/><Relationship Id="rId64" Type="http://schemas.openxmlformats.org/officeDocument/2006/relationships/oleObject" Target="../embeddings/oleObject32.bin"/><Relationship Id="rId69" Type="http://schemas.openxmlformats.org/officeDocument/2006/relationships/image" Target="../media/image32.emf"/><Relationship Id="rId113" Type="http://schemas.openxmlformats.org/officeDocument/2006/relationships/image" Target="../media/image48.emf"/><Relationship Id="rId118" Type="http://schemas.openxmlformats.org/officeDocument/2006/relationships/oleObject" Target="../embeddings/oleObject65.bin"/><Relationship Id="rId80" Type="http://schemas.openxmlformats.org/officeDocument/2006/relationships/oleObject" Target="../embeddings/oleObject42.bin"/><Relationship Id="rId85" Type="http://schemas.openxmlformats.org/officeDocument/2006/relationships/image" Target="../media/image37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33" Type="http://schemas.openxmlformats.org/officeDocument/2006/relationships/image" Target="../media/image14.emf"/><Relationship Id="rId38" Type="http://schemas.openxmlformats.org/officeDocument/2006/relationships/oleObject" Target="../embeddings/oleObject19.bin"/><Relationship Id="rId59" Type="http://schemas.openxmlformats.org/officeDocument/2006/relationships/image" Target="../media/image27.emf"/><Relationship Id="rId103" Type="http://schemas.openxmlformats.org/officeDocument/2006/relationships/oleObject" Target="../embeddings/oleObject57.bin"/><Relationship Id="rId108" Type="http://schemas.openxmlformats.org/officeDocument/2006/relationships/image" Target="../media/image46.emf"/><Relationship Id="rId124" Type="http://schemas.openxmlformats.org/officeDocument/2006/relationships/oleObject" Target="../embeddings/oleObject68.bin"/><Relationship Id="rId129" Type="http://schemas.openxmlformats.org/officeDocument/2006/relationships/image" Target="../media/image56.emf"/><Relationship Id="rId54" Type="http://schemas.openxmlformats.org/officeDocument/2006/relationships/oleObject" Target="../embeddings/oleObject27.bin"/><Relationship Id="rId70" Type="http://schemas.openxmlformats.org/officeDocument/2006/relationships/oleObject" Target="../embeddings/oleObject35.bin"/><Relationship Id="rId75" Type="http://schemas.openxmlformats.org/officeDocument/2006/relationships/image" Target="../media/image35.emf"/><Relationship Id="rId91" Type="http://schemas.openxmlformats.org/officeDocument/2006/relationships/oleObject" Target="../embeddings/oleObject49.bin"/><Relationship Id="rId96" Type="http://schemas.openxmlformats.org/officeDocument/2006/relationships/oleObject" Target="../embeddings/oleObject53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2.emf"/><Relationship Id="rId114" Type="http://schemas.openxmlformats.org/officeDocument/2006/relationships/oleObject" Target="../embeddings/oleObject63.bin"/><Relationship Id="rId119" Type="http://schemas.openxmlformats.org/officeDocument/2006/relationships/image" Target="../media/image51.emf"/><Relationship Id="rId44" Type="http://schemas.openxmlformats.org/officeDocument/2006/relationships/oleObject" Target="../embeddings/oleObject22.bin"/><Relationship Id="rId60" Type="http://schemas.openxmlformats.org/officeDocument/2006/relationships/oleObject" Target="../embeddings/oleObject30.bin"/><Relationship Id="rId65" Type="http://schemas.openxmlformats.org/officeDocument/2006/relationships/image" Target="../media/image30.emf"/><Relationship Id="rId81" Type="http://schemas.openxmlformats.org/officeDocument/2006/relationships/oleObject" Target="../embeddings/oleObject43.bin"/><Relationship Id="rId86" Type="http://schemas.openxmlformats.org/officeDocument/2006/relationships/oleObject" Target="../embeddings/oleObject46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7.emf"/><Relationship Id="rId109" Type="http://schemas.openxmlformats.org/officeDocument/2006/relationships/oleObject" Target="../embeddings/oleObject60.bin"/><Relationship Id="rId34" Type="http://schemas.openxmlformats.org/officeDocument/2006/relationships/oleObject" Target="../embeddings/oleObject17.bin"/><Relationship Id="rId50" Type="http://schemas.openxmlformats.org/officeDocument/2006/relationships/oleObject" Target="../embeddings/oleObject25.bin"/><Relationship Id="rId55" Type="http://schemas.openxmlformats.org/officeDocument/2006/relationships/image" Target="../media/image25.emf"/><Relationship Id="rId76" Type="http://schemas.openxmlformats.org/officeDocument/2006/relationships/oleObject" Target="../embeddings/oleObject38.bin"/><Relationship Id="rId97" Type="http://schemas.openxmlformats.org/officeDocument/2006/relationships/image" Target="../media/image41.emf"/><Relationship Id="rId104" Type="http://schemas.openxmlformats.org/officeDocument/2006/relationships/image" Target="../media/image44.emf"/><Relationship Id="rId120" Type="http://schemas.openxmlformats.org/officeDocument/2006/relationships/oleObject" Target="../embeddings/oleObject66.bin"/><Relationship Id="rId125" Type="http://schemas.openxmlformats.org/officeDocument/2006/relationships/image" Target="../media/image54.emf"/><Relationship Id="rId7" Type="http://schemas.openxmlformats.org/officeDocument/2006/relationships/image" Target="../media/image2.emf"/><Relationship Id="rId71" Type="http://schemas.openxmlformats.org/officeDocument/2006/relationships/image" Target="../media/image33.emf"/><Relationship Id="rId92" Type="http://schemas.openxmlformats.org/officeDocument/2006/relationships/oleObject" Target="../embeddings/oleObject50.bin"/><Relationship Id="rId2" Type="http://schemas.openxmlformats.org/officeDocument/2006/relationships/drawing" Target="../drawings/drawing1.xml"/><Relationship Id="rId29" Type="http://schemas.openxmlformats.org/officeDocument/2006/relationships/oleObject" Target="../embeddings/oleObject14.bin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20.bin"/><Relationship Id="rId45" Type="http://schemas.openxmlformats.org/officeDocument/2006/relationships/image" Target="../media/image20.emf"/><Relationship Id="rId66" Type="http://schemas.openxmlformats.org/officeDocument/2006/relationships/oleObject" Target="../embeddings/oleObject33.bin"/><Relationship Id="rId87" Type="http://schemas.openxmlformats.org/officeDocument/2006/relationships/image" Target="../media/image38.emf"/><Relationship Id="rId110" Type="http://schemas.openxmlformats.org/officeDocument/2006/relationships/oleObject" Target="../embeddings/oleObject61.bin"/><Relationship Id="rId115" Type="http://schemas.openxmlformats.org/officeDocument/2006/relationships/image" Target="../media/image49.emf"/><Relationship Id="rId61" Type="http://schemas.openxmlformats.org/officeDocument/2006/relationships/image" Target="../media/image28.emf"/><Relationship Id="rId82" Type="http://schemas.openxmlformats.org/officeDocument/2006/relationships/oleObject" Target="../embeddings/oleObject44.bin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image" Target="../media/image13.emf"/><Relationship Id="rId35" Type="http://schemas.openxmlformats.org/officeDocument/2006/relationships/image" Target="../media/image15.emf"/><Relationship Id="rId56" Type="http://schemas.openxmlformats.org/officeDocument/2006/relationships/oleObject" Target="../embeddings/oleObject28.bin"/><Relationship Id="rId77" Type="http://schemas.openxmlformats.org/officeDocument/2006/relationships/oleObject" Target="../embeddings/oleObject39.bin"/><Relationship Id="rId100" Type="http://schemas.openxmlformats.org/officeDocument/2006/relationships/image" Target="../media/image42.emf"/><Relationship Id="rId105" Type="http://schemas.openxmlformats.org/officeDocument/2006/relationships/oleObject" Target="../embeddings/oleObject58.bin"/><Relationship Id="rId126" Type="http://schemas.openxmlformats.org/officeDocument/2006/relationships/oleObject" Target="../embeddings/oleObject69.bin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3.emf"/><Relationship Id="rId72" Type="http://schemas.openxmlformats.org/officeDocument/2006/relationships/oleObject" Target="../embeddings/oleObject36.bin"/><Relationship Id="rId93" Type="http://schemas.openxmlformats.org/officeDocument/2006/relationships/oleObject" Target="../embeddings/oleObject51.bin"/><Relationship Id="rId98" Type="http://schemas.openxmlformats.org/officeDocument/2006/relationships/oleObject" Target="../embeddings/oleObject54.bin"/><Relationship Id="rId121" Type="http://schemas.openxmlformats.org/officeDocument/2006/relationships/image" Target="../media/image52.emf"/><Relationship Id="rId3" Type="http://schemas.openxmlformats.org/officeDocument/2006/relationships/vmlDrawing" Target="../drawings/vmlDrawing1.vml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3.bin"/><Relationship Id="rId67" Type="http://schemas.openxmlformats.org/officeDocument/2006/relationships/image" Target="../media/image31.emf"/><Relationship Id="rId116" Type="http://schemas.openxmlformats.org/officeDocument/2006/relationships/oleObject" Target="../embeddings/oleObject64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8.emf"/><Relationship Id="rId62" Type="http://schemas.openxmlformats.org/officeDocument/2006/relationships/oleObject" Target="../embeddings/oleObject31.bin"/><Relationship Id="rId83" Type="http://schemas.openxmlformats.org/officeDocument/2006/relationships/image" Target="../media/image36.emf"/><Relationship Id="rId88" Type="http://schemas.openxmlformats.org/officeDocument/2006/relationships/oleObject" Target="../embeddings/oleObject47.bin"/><Relationship Id="rId111" Type="http://schemas.openxmlformats.org/officeDocument/2006/relationships/image" Target="../media/image47.emf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8.bin"/><Relationship Id="rId57" Type="http://schemas.openxmlformats.org/officeDocument/2006/relationships/image" Target="../media/image26.emf"/><Relationship Id="rId106" Type="http://schemas.openxmlformats.org/officeDocument/2006/relationships/image" Target="../media/image45.emf"/><Relationship Id="rId127" Type="http://schemas.openxmlformats.org/officeDocument/2006/relationships/image" Target="../media/image55.emf"/><Relationship Id="rId10" Type="http://schemas.openxmlformats.org/officeDocument/2006/relationships/oleObject" Target="../embeddings/oleObject4.bin"/><Relationship Id="rId31" Type="http://schemas.openxmlformats.org/officeDocument/2006/relationships/oleObject" Target="../embeddings/oleObject15.bin"/><Relationship Id="rId52" Type="http://schemas.openxmlformats.org/officeDocument/2006/relationships/oleObject" Target="../embeddings/oleObject26.bin"/><Relationship Id="rId73" Type="http://schemas.openxmlformats.org/officeDocument/2006/relationships/image" Target="../media/image34.emf"/><Relationship Id="rId78" Type="http://schemas.openxmlformats.org/officeDocument/2006/relationships/oleObject" Target="../embeddings/oleObject40.bin"/><Relationship Id="rId94" Type="http://schemas.openxmlformats.org/officeDocument/2006/relationships/oleObject" Target="../embeddings/oleObject52.bin"/><Relationship Id="rId99" Type="http://schemas.openxmlformats.org/officeDocument/2006/relationships/oleObject" Target="../embeddings/oleObject55.bin"/><Relationship Id="rId101" Type="http://schemas.openxmlformats.org/officeDocument/2006/relationships/oleObject" Target="../embeddings/oleObject56.bin"/><Relationship Id="rId122" Type="http://schemas.openxmlformats.org/officeDocument/2006/relationships/oleObject" Target="../embeddings/oleObject67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26" Type="http://schemas.openxmlformats.org/officeDocument/2006/relationships/oleObject" Target="../embeddings/oleObject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"/>
  <sheetViews>
    <sheetView tabSelected="1" view="pageLayout" topLeftCell="A41" zoomScale="76" zoomScaleNormal="100" zoomScalePageLayoutView="76" workbookViewId="0">
      <selection activeCell="L49" sqref="L49"/>
    </sheetView>
  </sheetViews>
  <sheetFormatPr defaultRowHeight="12.5" x14ac:dyDescent="0.25"/>
  <cols>
    <col min="1" max="1" width="11.1796875" customWidth="1"/>
    <col min="2" max="2" width="7.1796875" customWidth="1"/>
    <col min="3" max="3" width="11.453125" customWidth="1"/>
    <col min="4" max="4" width="11.7265625" customWidth="1"/>
    <col min="5" max="5" width="12" customWidth="1"/>
    <col min="6" max="6" width="9.26953125" customWidth="1"/>
    <col min="7" max="7" width="10.81640625" customWidth="1"/>
    <col min="8" max="8" width="11.54296875" customWidth="1"/>
    <col min="9" max="9" width="7.26953125" customWidth="1"/>
    <col min="10" max="10" width="7.1796875" customWidth="1"/>
    <col min="11" max="11" width="7.453125" customWidth="1"/>
    <col min="12" max="12" width="7.81640625" customWidth="1"/>
    <col min="13" max="13" width="8.81640625" customWidth="1"/>
  </cols>
  <sheetData>
    <row r="1" spans="1:25" ht="22.5" customHeight="1" x14ac:dyDescent="0.4">
      <c r="C1" s="27" t="s">
        <v>22</v>
      </c>
    </row>
    <row r="2" spans="1:25" ht="18.75" customHeight="1" x14ac:dyDescent="0.4">
      <c r="B2" s="36"/>
      <c r="C2" s="8"/>
      <c r="D2" s="8" t="s">
        <v>24</v>
      </c>
      <c r="E2" s="31"/>
    </row>
    <row r="3" spans="1:25" s="1" customFormat="1" ht="255" customHeight="1" x14ac:dyDescent="0.4">
      <c r="C3" s="27"/>
      <c r="Q3"/>
      <c r="R3"/>
      <c r="S3"/>
      <c r="T3"/>
      <c r="U3"/>
      <c r="V3"/>
      <c r="W3"/>
      <c r="X3"/>
      <c r="Y3"/>
    </row>
    <row r="4" spans="1:25" s="1" customFormat="1" ht="21" customHeight="1" x14ac:dyDescent="0.35">
      <c r="C4" s="1" t="s">
        <v>32</v>
      </c>
      <c r="Q4"/>
      <c r="R4"/>
      <c r="S4"/>
      <c r="T4"/>
      <c r="U4"/>
      <c r="V4"/>
      <c r="W4"/>
      <c r="X4"/>
      <c r="Y4"/>
    </row>
    <row r="5" spans="1:25" s="1" customFormat="1" ht="21" customHeight="1" x14ac:dyDescent="0.35">
      <c r="A5" s="22"/>
      <c r="B5" s="1" t="s">
        <v>7</v>
      </c>
      <c r="C5" s="1" t="s">
        <v>29</v>
      </c>
      <c r="Q5"/>
      <c r="R5"/>
      <c r="S5"/>
      <c r="T5"/>
      <c r="U5"/>
      <c r="V5"/>
      <c r="W5"/>
      <c r="X5"/>
      <c r="Y5"/>
    </row>
    <row r="6" spans="1:25" s="1" customFormat="1" ht="21" customHeight="1" x14ac:dyDescent="0.35">
      <c r="A6" s="8" t="s">
        <v>0</v>
      </c>
      <c r="B6" s="9" t="s">
        <v>18</v>
      </c>
      <c r="C6" s="21">
        <v>0</v>
      </c>
      <c r="E6" s="1" t="s">
        <v>30</v>
      </c>
      <c r="F6" s="8"/>
      <c r="G6" s="8"/>
      <c r="H6" s="8"/>
      <c r="I6" s="8"/>
      <c r="J6" s="8"/>
      <c r="K6" s="8"/>
      <c r="L6" s="8"/>
      <c r="M6" s="8"/>
      <c r="Q6"/>
      <c r="R6"/>
      <c r="S6"/>
      <c r="T6"/>
      <c r="U6"/>
      <c r="V6"/>
      <c r="W6"/>
      <c r="X6"/>
      <c r="Y6"/>
    </row>
    <row r="7" spans="1:25" s="1" customFormat="1" ht="21" customHeight="1" x14ac:dyDescent="0.35">
      <c r="A7" s="8" t="s">
        <v>1</v>
      </c>
      <c r="B7" s="43" t="s">
        <v>19</v>
      </c>
      <c r="C7" s="44">
        <v>1</v>
      </c>
      <c r="E7" s="1" t="s">
        <v>10</v>
      </c>
      <c r="F7" s="8"/>
      <c r="G7" s="8"/>
      <c r="H7" s="8"/>
      <c r="I7" s="8"/>
      <c r="J7" s="8"/>
      <c r="K7" s="8"/>
      <c r="L7" s="8"/>
      <c r="M7" s="8"/>
      <c r="Q7"/>
      <c r="R7"/>
      <c r="S7"/>
      <c r="T7"/>
      <c r="U7"/>
      <c r="V7"/>
      <c r="W7"/>
      <c r="X7"/>
      <c r="Y7"/>
    </row>
    <row r="8" spans="1:25" s="1" customFormat="1" ht="21" customHeight="1" x14ac:dyDescent="0.35">
      <c r="A8" s="8" t="s">
        <v>2</v>
      </c>
      <c r="B8" s="46" t="s">
        <v>20</v>
      </c>
      <c r="C8" s="47">
        <v>1</v>
      </c>
      <c r="E8" s="1" t="s">
        <v>11</v>
      </c>
      <c r="F8" s="8"/>
      <c r="G8" s="8"/>
      <c r="H8" s="7"/>
      <c r="I8" s="8"/>
      <c r="J8" s="8"/>
      <c r="K8" s="8"/>
      <c r="L8" s="8"/>
      <c r="M8" s="8"/>
      <c r="Q8"/>
      <c r="R8"/>
      <c r="S8"/>
      <c r="T8"/>
      <c r="U8"/>
      <c r="V8"/>
      <c r="W8"/>
      <c r="X8"/>
      <c r="Y8"/>
    </row>
    <row r="9" spans="1:25" s="1" customFormat="1" ht="21" customHeight="1" x14ac:dyDescent="0.35">
      <c r="A9" s="8" t="s">
        <v>3</v>
      </c>
      <c r="B9" s="49" t="s">
        <v>21</v>
      </c>
      <c r="C9" s="50">
        <v>0</v>
      </c>
      <c r="E9" s="1" t="s">
        <v>28</v>
      </c>
      <c r="F9" s="8"/>
      <c r="G9" s="8"/>
      <c r="H9" s="7"/>
      <c r="I9" s="8"/>
      <c r="J9" s="8"/>
      <c r="K9" s="8"/>
      <c r="L9" s="8"/>
      <c r="M9" s="8"/>
      <c r="Q9"/>
      <c r="R9"/>
      <c r="S9"/>
      <c r="T9"/>
      <c r="U9"/>
      <c r="V9"/>
      <c r="W9"/>
      <c r="X9"/>
      <c r="Y9"/>
    </row>
    <row r="10" spans="1:25" s="1" customFormat="1" ht="18" customHeight="1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Q10"/>
      <c r="R10"/>
      <c r="S10"/>
      <c r="T10"/>
      <c r="U10"/>
      <c r="V10"/>
      <c r="W10"/>
      <c r="X10"/>
      <c r="Y10"/>
    </row>
    <row r="11" spans="1:25" s="1" customFormat="1" ht="18" customHeight="1" x14ac:dyDescent="0.35">
      <c r="A11" s="26"/>
      <c r="B11" s="8"/>
      <c r="C11" s="8"/>
      <c r="D11" s="8"/>
      <c r="E11" s="23">
        <v>0.35</v>
      </c>
      <c r="F11" s="23">
        <v>0.9</v>
      </c>
      <c r="G11" s="8"/>
      <c r="H11" s="8"/>
      <c r="I11" s="8"/>
      <c r="J11" s="8"/>
      <c r="K11" s="8"/>
      <c r="L11" s="8"/>
      <c r="M11" s="8"/>
      <c r="Q11"/>
      <c r="R11"/>
      <c r="S11"/>
      <c r="T11"/>
      <c r="U11"/>
      <c r="V11"/>
      <c r="W11"/>
      <c r="X11"/>
      <c r="Y11"/>
    </row>
    <row r="12" spans="1:25" s="1" customFormat="1" ht="18" customHeight="1" x14ac:dyDescent="0.35">
      <c r="A12" s="29" t="s">
        <v>4</v>
      </c>
      <c r="B12" s="8"/>
      <c r="C12" s="8"/>
      <c r="D12" s="8"/>
      <c r="E12" s="23"/>
      <c r="F12" s="23"/>
      <c r="G12" s="8"/>
      <c r="H12" s="8"/>
      <c r="I12" s="8"/>
      <c r="J12" s="8"/>
      <c r="K12" s="8"/>
      <c r="L12" s="8"/>
      <c r="M12" s="8"/>
      <c r="Q12"/>
      <c r="R12"/>
      <c r="S12"/>
      <c r="T12"/>
      <c r="U12"/>
      <c r="V12"/>
      <c r="W12"/>
      <c r="X12"/>
      <c r="Y12"/>
    </row>
    <row r="13" spans="1:25" s="1" customFormat="1" ht="18" customHeight="1" x14ac:dyDescent="0.35">
      <c r="A13" s="36" t="s">
        <v>25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Q13"/>
      <c r="R13"/>
      <c r="S13"/>
      <c r="T13"/>
      <c r="U13"/>
      <c r="V13"/>
      <c r="W13"/>
      <c r="X13"/>
      <c r="Y13"/>
    </row>
    <row r="14" spans="1:25" s="1" customFormat="1" ht="51.75" customHeight="1" x14ac:dyDescent="0.4">
      <c r="A14" s="10"/>
      <c r="B14" s="11"/>
      <c r="C14" s="12"/>
      <c r="D14" s="10"/>
      <c r="E14" s="16"/>
      <c r="F14" s="11"/>
      <c r="G14" s="16"/>
      <c r="H14" s="11"/>
      <c r="I14" s="12"/>
      <c r="J14" s="18"/>
      <c r="K14" s="19"/>
      <c r="L14" s="18"/>
      <c r="M14" s="19"/>
      <c r="Q14"/>
      <c r="R14"/>
      <c r="S14"/>
      <c r="T14"/>
      <c r="U14"/>
      <c r="V14"/>
      <c r="W14"/>
      <c r="X14"/>
      <c r="Y14"/>
    </row>
    <row r="15" spans="1:25" ht="18" x14ac:dyDescent="0.4">
      <c r="A15" s="17"/>
      <c r="B15" s="17"/>
      <c r="C15" s="17"/>
      <c r="D15" s="17"/>
      <c r="E15" s="17"/>
      <c r="F15" s="14"/>
      <c r="G15" s="17"/>
      <c r="H15" s="17"/>
      <c r="I15" s="14"/>
      <c r="J15" s="15"/>
      <c r="K15" s="15"/>
      <c r="L15" s="15"/>
      <c r="M15" s="15"/>
    </row>
    <row r="16" spans="1:25" s="2" customFormat="1" x14ac:dyDescent="0.25">
      <c r="A16" s="42">
        <v>1</v>
      </c>
      <c r="B16" s="42">
        <v>0</v>
      </c>
      <c r="C16" s="42">
        <v>0</v>
      </c>
      <c r="D16" s="52">
        <v>0.5</v>
      </c>
      <c r="E16" s="52">
        <v>0.35</v>
      </c>
      <c r="F16" s="52">
        <v>0.2</v>
      </c>
      <c r="G16" s="52">
        <v>-0.1</v>
      </c>
      <c r="H16" s="52">
        <v>0.15</v>
      </c>
      <c r="I16" s="52">
        <v>-0.25</v>
      </c>
      <c r="J16" s="32">
        <f>A16*D16+B16*F16+C16*H16</f>
        <v>0.5</v>
      </c>
      <c r="K16" s="37">
        <f>A16*E16+B16*G16+C16*I16</f>
        <v>0.35</v>
      </c>
      <c r="L16" s="32">
        <f t="shared" ref="L16:L19" si="0">1/(1+EXP(-J16))</f>
        <v>0.62245933120185459</v>
      </c>
      <c r="M16" s="40">
        <f>1/(1+EXP(-K16))</f>
        <v>0.58661757891733013</v>
      </c>
      <c r="N16"/>
      <c r="O16"/>
      <c r="P16"/>
      <c r="Q16"/>
      <c r="R16"/>
      <c r="S16"/>
      <c r="T16"/>
      <c r="U16"/>
      <c r="V16"/>
      <c r="W16"/>
      <c r="X16"/>
      <c r="Y16"/>
    </row>
    <row r="17" spans="1:25" s="4" customFormat="1" x14ac:dyDescent="0.25">
      <c r="A17" s="45">
        <v>1</v>
      </c>
      <c r="B17" s="45">
        <v>1</v>
      </c>
      <c r="C17" s="45">
        <v>0</v>
      </c>
      <c r="D17" s="52">
        <f>D16</f>
        <v>0.5</v>
      </c>
      <c r="E17" s="52">
        <f>E16</f>
        <v>0.35</v>
      </c>
      <c r="F17" s="52">
        <f>F16</f>
        <v>0.2</v>
      </c>
      <c r="G17" s="52">
        <f t="shared" ref="G17:I17" si="1">G16</f>
        <v>-0.1</v>
      </c>
      <c r="H17" s="52">
        <f t="shared" si="1"/>
        <v>0.15</v>
      </c>
      <c r="I17" s="52">
        <f t="shared" si="1"/>
        <v>-0.25</v>
      </c>
      <c r="J17" s="32">
        <f t="shared" ref="J17:J19" si="2">A17*D17+B17*F17+C17*H17</f>
        <v>0.7</v>
      </c>
      <c r="K17" s="37">
        <f t="shared" ref="K17:K19" si="3">A17*E17+B17*G17+C17*I17</f>
        <v>0.24999999999999997</v>
      </c>
      <c r="L17" s="32">
        <f t="shared" si="0"/>
        <v>0.66818777216816616</v>
      </c>
      <c r="M17" s="40">
        <f t="shared" ref="M17:M19" si="4">1/(1+EXP(-K17))</f>
        <v>0.56217650088579807</v>
      </c>
      <c r="N17"/>
      <c r="O17"/>
      <c r="P17"/>
      <c r="Q17"/>
      <c r="R17"/>
      <c r="S17"/>
      <c r="T17"/>
      <c r="U17"/>
      <c r="V17"/>
      <c r="W17"/>
      <c r="X17"/>
      <c r="Y17"/>
    </row>
    <row r="18" spans="1:25" s="3" customFormat="1" x14ac:dyDescent="0.25">
      <c r="A18" s="48">
        <v>1</v>
      </c>
      <c r="B18" s="48">
        <v>0</v>
      </c>
      <c r="C18" s="48">
        <v>1</v>
      </c>
      <c r="D18" s="52">
        <f>D16</f>
        <v>0.5</v>
      </c>
      <c r="E18" s="52">
        <f t="shared" ref="E18:E19" si="5">E17</f>
        <v>0.35</v>
      </c>
      <c r="F18" s="52">
        <f t="shared" ref="F18:F19" si="6">F17</f>
        <v>0.2</v>
      </c>
      <c r="G18" s="52">
        <f t="shared" ref="G18:G19" si="7">G17</f>
        <v>-0.1</v>
      </c>
      <c r="H18" s="52">
        <f t="shared" ref="H18:H19" si="8">H17</f>
        <v>0.15</v>
      </c>
      <c r="I18" s="52">
        <f t="shared" ref="I18:I19" si="9">I17</f>
        <v>-0.25</v>
      </c>
      <c r="J18" s="32">
        <f t="shared" si="2"/>
        <v>0.65</v>
      </c>
      <c r="K18" s="37">
        <f t="shared" si="3"/>
        <v>9.9999999999999978E-2</v>
      </c>
      <c r="L18" s="32">
        <f t="shared" si="0"/>
        <v>0.65701046267349883</v>
      </c>
      <c r="M18" s="40">
        <f t="shared" si="4"/>
        <v>0.5249791874789399</v>
      </c>
      <c r="N18"/>
      <c r="O18"/>
      <c r="P18"/>
      <c r="Q18"/>
      <c r="R18"/>
      <c r="S18"/>
      <c r="T18"/>
      <c r="U18"/>
      <c r="V18"/>
      <c r="W18"/>
      <c r="X18"/>
      <c r="Y18"/>
    </row>
    <row r="19" spans="1:25" s="5" customFormat="1" x14ac:dyDescent="0.25">
      <c r="A19" s="51">
        <v>1</v>
      </c>
      <c r="B19" s="51">
        <v>1</v>
      </c>
      <c r="C19" s="51">
        <v>1</v>
      </c>
      <c r="D19" s="52">
        <f>D16</f>
        <v>0.5</v>
      </c>
      <c r="E19" s="52">
        <f t="shared" si="5"/>
        <v>0.35</v>
      </c>
      <c r="F19" s="52">
        <f t="shared" si="6"/>
        <v>0.2</v>
      </c>
      <c r="G19" s="52">
        <f t="shared" si="7"/>
        <v>-0.1</v>
      </c>
      <c r="H19" s="52">
        <f t="shared" si="8"/>
        <v>0.15</v>
      </c>
      <c r="I19" s="52">
        <f t="shared" si="9"/>
        <v>-0.25</v>
      </c>
      <c r="J19" s="32">
        <f t="shared" si="2"/>
        <v>0.85</v>
      </c>
      <c r="K19" s="37">
        <f t="shared" si="3"/>
        <v>0</v>
      </c>
      <c r="L19" s="32">
        <f t="shared" si="0"/>
        <v>0.70056714247397289</v>
      </c>
      <c r="M19" s="40">
        <f t="shared" si="4"/>
        <v>0.5</v>
      </c>
      <c r="N19"/>
      <c r="O19"/>
      <c r="P19"/>
      <c r="Q19"/>
      <c r="R19"/>
      <c r="S19"/>
      <c r="T19"/>
      <c r="U19"/>
      <c r="V19"/>
      <c r="W19"/>
      <c r="X19"/>
      <c r="Y19"/>
    </row>
    <row r="21" spans="1:25" ht="14" x14ac:dyDescent="0.3">
      <c r="A21" s="36" t="s">
        <v>13</v>
      </c>
    </row>
    <row r="22" spans="1:25" ht="32.25" customHeight="1" x14ac:dyDescent="0.4">
      <c r="A22" s="18"/>
      <c r="B22" s="11" t="s">
        <v>12</v>
      </c>
      <c r="C22" s="19"/>
      <c r="D22" s="18"/>
      <c r="E22" s="16"/>
      <c r="F22" s="19"/>
      <c r="G22" s="20"/>
      <c r="H22" s="13"/>
      <c r="I22" s="13"/>
    </row>
    <row r="23" spans="1:25" ht="21.75" customHeight="1" x14ac:dyDescent="0.4">
      <c r="A23" s="30"/>
      <c r="B23" s="17"/>
      <c r="C23" s="17"/>
      <c r="D23" s="17"/>
      <c r="E23" s="17"/>
      <c r="F23" s="14"/>
      <c r="G23" s="15"/>
      <c r="H23" s="15"/>
      <c r="I23" s="28" t="s">
        <v>16</v>
      </c>
    </row>
    <row r="24" spans="1:25" x14ac:dyDescent="0.25">
      <c r="A24" s="57">
        <v>1</v>
      </c>
      <c r="B24" s="34">
        <f t="shared" ref="B24:C27" si="10">L16</f>
        <v>0.62245933120185459</v>
      </c>
      <c r="C24" s="41">
        <f t="shared" si="10"/>
        <v>0.58661757891733013</v>
      </c>
      <c r="D24" s="58">
        <v>0.4</v>
      </c>
      <c r="E24" s="58">
        <v>0.3</v>
      </c>
      <c r="F24" s="58">
        <v>0.6</v>
      </c>
      <c r="G24" s="34">
        <f>SUM(A24*D24,B24*E24,C24*F24)</f>
        <v>0.93870834671095449</v>
      </c>
      <c r="H24" s="41">
        <f>1/(1+EXP(-G24))</f>
        <v>0.71883867564918336</v>
      </c>
      <c r="I24" s="41">
        <v>0</v>
      </c>
    </row>
    <row r="25" spans="1:25" x14ac:dyDescent="0.25">
      <c r="A25" s="33">
        <v>1</v>
      </c>
      <c r="B25" s="34">
        <f t="shared" si="10"/>
        <v>0.66818777216816616</v>
      </c>
      <c r="C25" s="34">
        <f t="shared" si="10"/>
        <v>0.56217650088579807</v>
      </c>
      <c r="D25" s="53">
        <f>D24</f>
        <v>0.4</v>
      </c>
      <c r="E25" s="53">
        <f>E24</f>
        <v>0.3</v>
      </c>
      <c r="F25" s="53">
        <f>F24</f>
        <v>0.6</v>
      </c>
      <c r="G25" s="34">
        <f t="shared" ref="G25:G27" si="11">SUM(A25*D25,B25*E25,C25*F25)</f>
        <v>0.93776223218192878</v>
      </c>
      <c r="H25" s="41">
        <f t="shared" ref="H25:H27" si="12">1/(1+EXP(-G25))</f>
        <v>0.71864741720284631</v>
      </c>
      <c r="I25" s="35">
        <v>1</v>
      </c>
    </row>
    <row r="26" spans="1:25" x14ac:dyDescent="0.25">
      <c r="A26" s="33">
        <v>1</v>
      </c>
      <c r="B26" s="34">
        <f t="shared" si="10"/>
        <v>0.65701046267349883</v>
      </c>
      <c r="C26" s="34">
        <f t="shared" si="10"/>
        <v>0.5249791874789399</v>
      </c>
      <c r="D26" s="53">
        <f>D24</f>
        <v>0.4</v>
      </c>
      <c r="E26" s="53">
        <f>E24</f>
        <v>0.3</v>
      </c>
      <c r="F26" s="53">
        <f>F24</f>
        <v>0.6</v>
      </c>
      <c r="G26" s="34">
        <f t="shared" si="11"/>
        <v>0.91209065128941358</v>
      </c>
      <c r="H26" s="41">
        <f t="shared" si="12"/>
        <v>0.71342778409192198</v>
      </c>
      <c r="I26" s="35">
        <v>1</v>
      </c>
    </row>
    <row r="27" spans="1:25" x14ac:dyDescent="0.25">
      <c r="A27" s="33">
        <v>1</v>
      </c>
      <c r="B27" s="34">
        <f t="shared" si="10"/>
        <v>0.70056714247397289</v>
      </c>
      <c r="C27" s="34">
        <f t="shared" si="10"/>
        <v>0.5</v>
      </c>
      <c r="D27" s="53">
        <f>D24</f>
        <v>0.4</v>
      </c>
      <c r="E27" s="53">
        <f>E24</f>
        <v>0.3</v>
      </c>
      <c r="F27" s="53">
        <f>F24</f>
        <v>0.6</v>
      </c>
      <c r="G27" s="34">
        <f t="shared" si="11"/>
        <v>0.91017014274219199</v>
      </c>
      <c r="H27" s="41">
        <f t="shared" si="12"/>
        <v>0.71303497795816073</v>
      </c>
      <c r="I27" s="35">
        <v>0</v>
      </c>
    </row>
    <row r="28" spans="1:25" s="1" customFormat="1" ht="15.5" x14ac:dyDescent="0.35">
      <c r="A28" s="6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Q28"/>
      <c r="R28"/>
      <c r="S28"/>
      <c r="T28"/>
      <c r="U28"/>
      <c r="V28"/>
      <c r="W28"/>
      <c r="X28"/>
      <c r="Y28"/>
    </row>
    <row r="29" spans="1:25" s="1" customFormat="1" ht="15.5" x14ac:dyDescent="0.35">
      <c r="A29" s="6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Q29"/>
      <c r="R29"/>
      <c r="S29"/>
      <c r="T29"/>
      <c r="U29"/>
      <c r="V29"/>
      <c r="W29"/>
      <c r="X29"/>
      <c r="Y29"/>
    </row>
    <row r="30" spans="1:25" s="1" customFormat="1" ht="17.5" x14ac:dyDescent="0.35">
      <c r="A30" s="29" t="s">
        <v>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Q30"/>
      <c r="R30"/>
      <c r="S30"/>
      <c r="T30"/>
      <c r="U30"/>
      <c r="V30"/>
      <c r="W30"/>
      <c r="X30"/>
      <c r="Y30"/>
    </row>
    <row r="31" spans="1:25" s="1" customFormat="1" ht="15.5" x14ac:dyDescent="0.35">
      <c r="A31" s="36" t="s">
        <v>14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Q31"/>
      <c r="R31"/>
      <c r="S31"/>
      <c r="T31"/>
      <c r="U31"/>
      <c r="V31"/>
      <c r="W31"/>
      <c r="X31"/>
      <c r="Y31"/>
    </row>
    <row r="32" spans="1:25" s="1" customFormat="1" ht="54.75" customHeight="1" x14ac:dyDescent="0.4">
      <c r="A32" s="13"/>
      <c r="B32" s="13"/>
      <c r="C32" s="13"/>
      <c r="D32" s="13" t="s">
        <v>9</v>
      </c>
      <c r="E32" s="13"/>
      <c r="F32" s="8"/>
      <c r="G32" s="8"/>
      <c r="H32" s="8"/>
      <c r="I32" s="8"/>
      <c r="J32" s="8"/>
      <c r="K32" s="8"/>
      <c r="L32" s="8"/>
      <c r="M32" s="8"/>
      <c r="Q32"/>
      <c r="R32"/>
      <c r="S32"/>
      <c r="T32"/>
      <c r="U32"/>
      <c r="V32"/>
      <c r="W32"/>
      <c r="X32"/>
      <c r="Y32"/>
    </row>
    <row r="33" spans="1:25" s="1" customFormat="1" ht="18" x14ac:dyDescent="0.4">
      <c r="A33" s="15"/>
      <c r="B33" s="28" t="s">
        <v>16</v>
      </c>
      <c r="C33" s="15"/>
      <c r="D33" s="15"/>
      <c r="E33" s="15"/>
      <c r="F33" s="8"/>
      <c r="G33" s="8"/>
      <c r="H33" s="8"/>
      <c r="I33" s="8"/>
      <c r="J33" s="8"/>
      <c r="K33" s="8"/>
      <c r="L33" s="8"/>
      <c r="M33" s="8"/>
      <c r="Q33"/>
      <c r="R33"/>
      <c r="S33"/>
      <c r="T33"/>
      <c r="U33"/>
      <c r="V33"/>
      <c r="W33"/>
      <c r="X33"/>
      <c r="Y33"/>
    </row>
    <row r="34" spans="1:25" s="1" customFormat="1" ht="11.4" customHeight="1" x14ac:dyDescent="0.35">
      <c r="A34" s="24">
        <f t="shared" ref="A34:B37" si="13">H24</f>
        <v>0.71883867564918336</v>
      </c>
      <c r="B34" s="24">
        <f t="shared" si="13"/>
        <v>0</v>
      </c>
      <c r="C34" s="24">
        <f>A34*(1-A34)*(B34-A34)</f>
        <v>-0.14528422166933488</v>
      </c>
      <c r="D34" s="24">
        <f>B24*(1-B24)*C34*E24</f>
        <v>-1.024269942498391E-2</v>
      </c>
      <c r="E34" s="24">
        <f>C24*(1-C24)*C34*F24</f>
        <v>-2.1138627175611102E-2</v>
      </c>
      <c r="F34" s="8"/>
      <c r="G34" s="8"/>
      <c r="H34" s="8"/>
      <c r="I34" s="8"/>
      <c r="J34" s="8"/>
      <c r="K34" s="8"/>
      <c r="L34" s="8"/>
      <c r="M34" s="8"/>
      <c r="Q34"/>
      <c r="R34"/>
      <c r="S34"/>
      <c r="T34"/>
      <c r="U34"/>
      <c r="V34"/>
      <c r="W34"/>
      <c r="X34"/>
      <c r="Y34"/>
    </row>
    <row r="35" spans="1:25" s="1" customFormat="1" ht="11.4" customHeight="1" x14ac:dyDescent="0.35">
      <c r="A35" s="54">
        <f t="shared" si="13"/>
        <v>0.71864741720284631</v>
      </c>
      <c r="B35" s="54">
        <f t="shared" si="13"/>
        <v>1</v>
      </c>
      <c r="C35" s="24">
        <f t="shared" ref="C35:C37" si="14">A35*(1-A35)*(B35-A35)</f>
        <v>5.6887609134827752E-2</v>
      </c>
      <c r="D35" s="24">
        <f t="shared" ref="D35:D37" si="15">B25*(1-B25)*C35*E25</f>
        <v>3.7838145828173932E-3</v>
      </c>
      <c r="E35" s="24">
        <f t="shared" ref="E35:E37" si="16">C25*(1-C25)*C35*F25</f>
        <v>8.4011876961215086E-3</v>
      </c>
      <c r="F35" s="8"/>
      <c r="G35" s="8"/>
      <c r="H35" s="8"/>
      <c r="I35" s="8"/>
      <c r="J35" s="8"/>
      <c r="K35" s="8"/>
      <c r="L35" s="8"/>
      <c r="M35" s="8"/>
      <c r="Q35"/>
      <c r="R35"/>
      <c r="S35"/>
      <c r="T35"/>
      <c r="U35"/>
      <c r="V35"/>
      <c r="W35"/>
      <c r="X35"/>
      <c r="Y35"/>
    </row>
    <row r="36" spans="1:25" s="1" customFormat="1" ht="11.4" customHeight="1" x14ac:dyDescent="0.35">
      <c r="A36" s="54">
        <f t="shared" si="13"/>
        <v>0.71342778409192198</v>
      </c>
      <c r="B36" s="54">
        <f t="shared" si="13"/>
        <v>1</v>
      </c>
      <c r="C36" s="24">
        <f t="shared" si="14"/>
        <v>5.858928289001638E-2</v>
      </c>
      <c r="D36" s="24">
        <f t="shared" si="15"/>
        <v>3.9608882999897128E-3</v>
      </c>
      <c r="E36" s="24">
        <f t="shared" si="16"/>
        <v>8.7664580189120659E-3</v>
      </c>
      <c r="F36" s="8"/>
      <c r="G36" s="8"/>
      <c r="H36" s="8"/>
      <c r="I36" s="8"/>
      <c r="J36" s="8"/>
      <c r="K36" s="8"/>
      <c r="L36" s="8"/>
      <c r="M36" s="8"/>
      <c r="Q36"/>
      <c r="R36"/>
      <c r="S36"/>
      <c r="T36"/>
      <c r="U36"/>
      <c r="V36"/>
      <c r="W36"/>
      <c r="X36"/>
      <c r="Y36"/>
    </row>
    <row r="37" spans="1:25" s="1" customFormat="1" ht="11.4" customHeight="1" x14ac:dyDescent="0.35">
      <c r="A37" s="54">
        <f t="shared" si="13"/>
        <v>0.71303497795816073</v>
      </c>
      <c r="B37" s="54">
        <f t="shared" si="13"/>
        <v>0</v>
      </c>
      <c r="C37" s="24">
        <f t="shared" si="14"/>
        <v>-0.14589843504593961</v>
      </c>
      <c r="D37" s="24">
        <f t="shared" si="15"/>
        <v>-9.181657905470977E-3</v>
      </c>
      <c r="E37" s="24">
        <f t="shared" si="16"/>
        <v>-2.188476525689094E-2</v>
      </c>
      <c r="F37" s="8"/>
      <c r="G37" s="8"/>
      <c r="H37" s="8"/>
      <c r="I37" s="8"/>
      <c r="J37" s="8"/>
      <c r="K37" s="8"/>
      <c r="L37" s="8"/>
      <c r="M37" s="8"/>
      <c r="Q37"/>
      <c r="R37"/>
      <c r="S37"/>
      <c r="T37"/>
      <c r="U37"/>
      <c r="V37"/>
      <c r="W37"/>
      <c r="X37"/>
      <c r="Y37"/>
    </row>
    <row r="38" spans="1:25" s="1" customFormat="1" ht="15.5" x14ac:dyDescent="0.35">
      <c r="A38" s="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Q38"/>
      <c r="R38"/>
      <c r="S38"/>
      <c r="T38"/>
      <c r="U38"/>
      <c r="V38"/>
      <c r="W38"/>
      <c r="X38"/>
      <c r="Y38"/>
    </row>
    <row r="39" spans="1:25" s="1" customFormat="1" ht="15.5" x14ac:dyDescent="0.35">
      <c r="A39" s="36" t="s">
        <v>17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Q39"/>
      <c r="R39"/>
      <c r="S39"/>
      <c r="T39"/>
      <c r="U39"/>
      <c r="V39"/>
      <c r="W39"/>
      <c r="X39"/>
      <c r="Y39"/>
    </row>
    <row r="40" spans="1:25" s="1" customFormat="1" ht="15.5" x14ac:dyDescent="0.35">
      <c r="A40" s="36" t="s">
        <v>26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Q40"/>
      <c r="R40"/>
      <c r="S40"/>
      <c r="T40"/>
      <c r="U40"/>
      <c r="V40"/>
      <c r="W40"/>
      <c r="X40"/>
      <c r="Y40"/>
    </row>
    <row r="41" spans="1:25" s="1" customFormat="1" ht="44.25" customHeight="1" x14ac:dyDescent="0.4">
      <c r="A41" s="18"/>
      <c r="B41" s="11"/>
      <c r="C41" s="19"/>
      <c r="D41" s="18" t="s">
        <v>8</v>
      </c>
      <c r="E41" s="11"/>
      <c r="F41" s="11" t="s">
        <v>9</v>
      </c>
      <c r="G41" s="11"/>
      <c r="H41" s="11" t="s">
        <v>9</v>
      </c>
      <c r="I41" s="19"/>
      <c r="J41" s="8"/>
      <c r="K41" s="8"/>
      <c r="L41" s="8"/>
      <c r="M41" s="8"/>
      <c r="Q41"/>
      <c r="R41"/>
      <c r="S41"/>
      <c r="T41"/>
      <c r="U41"/>
      <c r="V41"/>
      <c r="W41"/>
      <c r="X41"/>
      <c r="Y41"/>
    </row>
    <row r="42" spans="1:25" s="1" customFormat="1" ht="23.25" customHeight="1" x14ac:dyDescent="0.4">
      <c r="A42" s="15"/>
      <c r="B42" s="15"/>
      <c r="C42" s="15"/>
      <c r="D42" s="15"/>
      <c r="E42" s="15"/>
      <c r="F42" s="15"/>
      <c r="G42" s="15"/>
      <c r="H42" s="15"/>
      <c r="I42" s="15"/>
      <c r="J42" s="8"/>
      <c r="K42" s="8"/>
      <c r="L42" s="8"/>
      <c r="M42" s="8"/>
      <c r="Q42"/>
      <c r="R42"/>
      <c r="S42"/>
      <c r="T42"/>
      <c r="U42"/>
      <c r="V42"/>
      <c r="W42"/>
      <c r="X42"/>
      <c r="Y42"/>
    </row>
    <row r="43" spans="1:25" s="1" customFormat="1" ht="15.5" x14ac:dyDescent="0.35">
      <c r="A43" s="54">
        <f>E11*C34*A24+F11*0</f>
        <v>-5.0849477584267208E-2</v>
      </c>
      <c r="B43" s="54">
        <f>E11*C34*B24+F11*0</f>
        <v>-3.1651731809066663E-2</v>
      </c>
      <c r="C43" s="41">
        <f>E11*C34*C24+F11*0</f>
        <v>-2.9829197429693879E-2</v>
      </c>
      <c r="D43" s="54">
        <f>E11*D34*A16+F11*0</f>
        <v>-3.5849447987443685E-3</v>
      </c>
      <c r="E43" s="41">
        <f>E11*E34*A16+F11*0</f>
        <v>-7.3985195114638852E-3</v>
      </c>
      <c r="F43" s="54">
        <f>E11*D34*B16+F11*0</f>
        <v>0</v>
      </c>
      <c r="G43" s="41">
        <f>E11*E34*B16+F11*0</f>
        <v>0</v>
      </c>
      <c r="H43" s="54">
        <f>E11*D34*C16+F11*0</f>
        <v>0</v>
      </c>
      <c r="I43" s="41">
        <f>E11*E34*C16+F11*0</f>
        <v>0</v>
      </c>
      <c r="J43" s="8"/>
      <c r="K43" s="8"/>
      <c r="L43" s="8"/>
      <c r="M43" s="8"/>
      <c r="Q43"/>
      <c r="R43"/>
      <c r="S43"/>
      <c r="T43"/>
      <c r="U43"/>
      <c r="V43"/>
      <c r="W43"/>
      <c r="X43"/>
      <c r="Y43"/>
    </row>
    <row r="44" spans="1:25" s="1" customFormat="1" ht="15.5" x14ac:dyDescent="0.35">
      <c r="A44" s="54">
        <f>E11*C35*A25+F11*0</f>
        <v>1.9910663197189711E-2</v>
      </c>
      <c r="B44" s="54">
        <f>E11*C35*B25+F11*0</f>
        <v>1.3304061684120889E-2</v>
      </c>
      <c r="C44" s="41">
        <f>E11*C35*C25+F11*0</f>
        <v>1.1193306966511749E-2</v>
      </c>
      <c r="D44" s="54">
        <f>E11*D35*A17+F11*0</f>
        <v>1.3243351039860876E-3</v>
      </c>
      <c r="E44" s="41">
        <f>E11*E35*A17+F11*0</f>
        <v>2.940415693642528E-3</v>
      </c>
      <c r="F44" s="54">
        <f>E11*D35*B17+F11*0</f>
        <v>1.3243351039860876E-3</v>
      </c>
      <c r="G44" s="41">
        <f>E11*E35*B17+F11*0</f>
        <v>2.940415693642528E-3</v>
      </c>
      <c r="H44" s="54">
        <f>E11*D35*C17+F11*0</f>
        <v>0</v>
      </c>
      <c r="I44" s="41">
        <f>E11*E35*C17+F11*0</f>
        <v>0</v>
      </c>
      <c r="J44" s="8"/>
      <c r="K44" s="8"/>
      <c r="L44" s="8"/>
      <c r="M44" s="8"/>
      <c r="Q44"/>
      <c r="R44"/>
      <c r="S44"/>
      <c r="T44"/>
      <c r="U44"/>
      <c r="V44"/>
      <c r="W44"/>
      <c r="X44"/>
      <c r="Y44"/>
    </row>
    <row r="45" spans="1:25" s="1" customFormat="1" ht="15.5" x14ac:dyDescent="0.35">
      <c r="A45" s="54">
        <f>E11*C36*A26+F11*0</f>
        <v>2.0506249011505731E-2</v>
      </c>
      <c r="B45" s="54">
        <f>E11*C36*B26+F11*0</f>
        <v>1.3472820150747359E-2</v>
      </c>
      <c r="C45" s="41">
        <f>E11*C36*C26+F11*0</f>
        <v>1.0765353944301094E-2</v>
      </c>
      <c r="D45" s="54">
        <f>E11*D36*A18+F11*0</f>
        <v>1.3863109049963994E-3</v>
      </c>
      <c r="E45" s="41">
        <f>E11*E36*A18+F11*0</f>
        <v>3.0682603066192228E-3</v>
      </c>
      <c r="F45" s="54">
        <f>E11*D36*B18+F11*0</f>
        <v>0</v>
      </c>
      <c r="G45" s="41">
        <f>E11*E36*B18+F11*0</f>
        <v>0</v>
      </c>
      <c r="H45" s="54">
        <f>E11*D36*C18+F11*0</f>
        <v>1.3863109049963994E-3</v>
      </c>
      <c r="I45" s="41">
        <f>E11*E36*C18+F11*0</f>
        <v>3.0682603066192228E-3</v>
      </c>
      <c r="J45" s="8"/>
      <c r="K45" s="8"/>
      <c r="L45" s="8"/>
      <c r="M45" s="8"/>
      <c r="Q45"/>
      <c r="R45"/>
      <c r="S45"/>
      <c r="T45"/>
      <c r="U45"/>
      <c r="V45"/>
      <c r="W45"/>
      <c r="X45"/>
      <c r="Y45"/>
    </row>
    <row r="46" spans="1:25" s="1" customFormat="1" ht="15.5" x14ac:dyDescent="0.35">
      <c r="A46" s="54">
        <f>E11*C37*A27+F11*0</f>
        <v>-5.1064452266078857E-2</v>
      </c>
      <c r="B46" s="54">
        <f>E11*C37*B27+F11*0</f>
        <v>-3.5774077406045456E-2</v>
      </c>
      <c r="C46" s="41">
        <f>E11*C37*C27+F11*0</f>
        <v>-2.5532226133039428E-2</v>
      </c>
      <c r="D46" s="54">
        <f>E11*D37*A19+F11*0</f>
        <v>-3.213580266914842E-3</v>
      </c>
      <c r="E46" s="41">
        <f>E11*E37*A19+F11*0</f>
        <v>-7.6596678399118287E-3</v>
      </c>
      <c r="F46" s="54">
        <f>E11*D37*B19+F11*0</f>
        <v>-3.213580266914842E-3</v>
      </c>
      <c r="G46" s="41">
        <f>E11*E37*B19+F11*0</f>
        <v>-7.6596678399118287E-3</v>
      </c>
      <c r="H46" s="54">
        <f>E11*D37*C19+F11*0</f>
        <v>-3.213580266914842E-3</v>
      </c>
      <c r="I46" s="41">
        <f>E11*E37*C19+F11*0</f>
        <v>-7.6596678399118287E-3</v>
      </c>
      <c r="J46" s="8"/>
      <c r="K46" s="8"/>
      <c r="L46" s="8"/>
      <c r="M46" s="8"/>
      <c r="Q46"/>
      <c r="R46"/>
      <c r="S46"/>
      <c r="T46"/>
      <c r="U46"/>
      <c r="V46"/>
      <c r="W46"/>
      <c r="X46"/>
      <c r="Y46"/>
    </row>
    <row r="47" spans="1:25" s="1" customFormat="1" ht="15.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Q47"/>
      <c r="R47"/>
      <c r="S47"/>
      <c r="T47"/>
      <c r="U47"/>
      <c r="V47"/>
      <c r="W47"/>
      <c r="X47"/>
      <c r="Y47"/>
    </row>
    <row r="48" spans="1:25" s="1" customFormat="1" ht="15.5" x14ac:dyDescent="0.35">
      <c r="A48" s="36" t="s">
        <v>15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Q48"/>
      <c r="R48"/>
      <c r="S48"/>
      <c r="T48"/>
      <c r="U48"/>
      <c r="V48"/>
      <c r="W48"/>
      <c r="X48"/>
      <c r="Y48"/>
    </row>
    <row r="49" spans="1:25" s="1" customFormat="1" ht="43.5" customHeight="1" x14ac:dyDescent="0.4">
      <c r="A49" s="18" t="s">
        <v>8</v>
      </c>
      <c r="B49" s="11"/>
      <c r="C49" s="11" t="s">
        <v>9</v>
      </c>
      <c r="D49" s="11"/>
      <c r="E49" s="11" t="s">
        <v>9</v>
      </c>
      <c r="F49" s="19"/>
      <c r="G49" s="18"/>
      <c r="H49" s="11"/>
      <c r="I49" s="19"/>
      <c r="J49" s="8"/>
      <c r="K49" s="8"/>
      <c r="L49" s="8"/>
      <c r="M49" s="8"/>
      <c r="Q49"/>
      <c r="R49"/>
      <c r="S49"/>
      <c r="T49"/>
      <c r="U49"/>
      <c r="V49"/>
      <c r="W49"/>
      <c r="X49"/>
      <c r="Y49"/>
    </row>
    <row r="50" spans="1:25" s="1" customFormat="1" ht="23.25" customHeight="1" x14ac:dyDescent="0.4">
      <c r="A50" s="15"/>
      <c r="B50" s="15"/>
      <c r="C50" s="15"/>
      <c r="D50" s="15"/>
      <c r="E50" s="15"/>
      <c r="F50" s="15"/>
      <c r="G50" s="15"/>
      <c r="H50" s="15"/>
      <c r="I50" s="15"/>
      <c r="J50" s="8"/>
      <c r="K50" s="8"/>
      <c r="L50" s="8"/>
      <c r="M50" s="8"/>
      <c r="Q50"/>
      <c r="R50"/>
      <c r="S50"/>
      <c r="T50"/>
      <c r="U50"/>
      <c r="V50"/>
      <c r="W50"/>
      <c r="X50"/>
      <c r="Y50"/>
    </row>
    <row r="51" spans="1:25" s="1" customFormat="1" ht="15.5" x14ac:dyDescent="0.35">
      <c r="A51" s="54">
        <f>D16+D43</f>
        <v>0.49641505520125562</v>
      </c>
      <c r="B51" s="41">
        <f>E16+E43</f>
        <v>0.34260148048853611</v>
      </c>
      <c r="C51" s="54">
        <f>F16+F43</f>
        <v>0.2</v>
      </c>
      <c r="D51" s="41">
        <f>G16+G43</f>
        <v>-0.1</v>
      </c>
      <c r="E51" s="54">
        <f>H16+H43</f>
        <v>0.15</v>
      </c>
      <c r="F51" s="54">
        <f>I16+I43</f>
        <v>-0.25</v>
      </c>
      <c r="G51" s="54">
        <f>D24+A43</f>
        <v>0.3491505224157328</v>
      </c>
      <c r="H51" s="54">
        <f t="shared" ref="H51:I54" si="17">E24+B43</f>
        <v>0.26834826819093333</v>
      </c>
      <c r="I51" s="54">
        <f t="shared" si="17"/>
        <v>0.57017080257030606</v>
      </c>
      <c r="J51" s="8"/>
      <c r="K51" s="8"/>
      <c r="L51" s="8"/>
      <c r="M51" s="8"/>
      <c r="Q51"/>
      <c r="R51"/>
      <c r="S51"/>
      <c r="T51"/>
      <c r="U51"/>
      <c r="V51"/>
      <c r="W51"/>
      <c r="X51"/>
      <c r="Y51"/>
    </row>
    <row r="52" spans="1:25" s="1" customFormat="1" ht="15.5" x14ac:dyDescent="0.35">
      <c r="A52" s="54">
        <f t="shared" ref="A52:A54" si="18">D17+D44</f>
        <v>0.50132433510398611</v>
      </c>
      <c r="B52" s="41">
        <f t="shared" ref="B52:B54" si="19">E17+E44</f>
        <v>0.35294041569364248</v>
      </c>
      <c r="C52" s="54">
        <f t="shared" ref="C52:C54" si="20">F17+F44</f>
        <v>0.20132433510398609</v>
      </c>
      <c r="D52" s="41">
        <f t="shared" ref="D52:D54" si="21">G17+G44</f>
        <v>-9.7059584306357471E-2</v>
      </c>
      <c r="E52" s="54">
        <f t="shared" ref="E52:F54" si="22">H17+H44</f>
        <v>0.15</v>
      </c>
      <c r="F52" s="54">
        <f t="shared" si="22"/>
        <v>-0.25</v>
      </c>
      <c r="G52" s="54">
        <f t="shared" ref="G52:G54" si="23">D25+A44</f>
        <v>0.41991066319718973</v>
      </c>
      <c r="H52" s="54">
        <f t="shared" si="17"/>
        <v>0.31330406168412089</v>
      </c>
      <c r="I52" s="54">
        <f t="shared" si="17"/>
        <v>0.61119330696651175</v>
      </c>
      <c r="J52" s="8"/>
      <c r="K52" s="8"/>
      <c r="L52" s="8"/>
      <c r="M52" s="8"/>
      <c r="Q52"/>
      <c r="R52"/>
      <c r="S52"/>
      <c r="T52"/>
      <c r="U52"/>
      <c r="V52"/>
      <c r="W52"/>
      <c r="X52"/>
      <c r="Y52"/>
    </row>
    <row r="53" spans="1:25" s="1" customFormat="1" ht="15.5" x14ac:dyDescent="0.35">
      <c r="A53" s="54">
        <f t="shared" si="18"/>
        <v>0.50138631090499641</v>
      </c>
      <c r="B53" s="41">
        <f t="shared" si="19"/>
        <v>0.3530682603066192</v>
      </c>
      <c r="C53" s="54">
        <f t="shared" si="20"/>
        <v>0.2</v>
      </c>
      <c r="D53" s="41">
        <f t="shared" si="21"/>
        <v>-0.1</v>
      </c>
      <c r="E53" s="54">
        <f t="shared" si="22"/>
        <v>0.15138631090499641</v>
      </c>
      <c r="F53" s="54">
        <f t="shared" si="22"/>
        <v>-0.24693173969338078</v>
      </c>
      <c r="G53" s="54">
        <f t="shared" si="23"/>
        <v>0.42050624901150574</v>
      </c>
      <c r="H53" s="54">
        <f t="shared" si="17"/>
        <v>0.31347282015074734</v>
      </c>
      <c r="I53" s="54">
        <f t="shared" si="17"/>
        <v>0.61076535394430109</v>
      </c>
      <c r="J53" s="8"/>
      <c r="K53" s="8"/>
      <c r="L53" s="8"/>
      <c r="M53" s="8"/>
      <c r="Q53"/>
      <c r="R53"/>
      <c r="S53"/>
      <c r="T53"/>
      <c r="U53"/>
      <c r="V53"/>
      <c r="W53"/>
      <c r="X53"/>
      <c r="Y53"/>
    </row>
    <row r="54" spans="1:25" s="1" customFormat="1" ht="15.5" x14ac:dyDescent="0.35">
      <c r="A54" s="54">
        <f t="shared" si="18"/>
        <v>0.49678641973308518</v>
      </c>
      <c r="B54" s="41">
        <f t="shared" si="19"/>
        <v>0.34234033216008813</v>
      </c>
      <c r="C54" s="54">
        <f t="shared" si="20"/>
        <v>0.19678641973308517</v>
      </c>
      <c r="D54" s="41">
        <f t="shared" si="21"/>
        <v>-0.10765966783991184</v>
      </c>
      <c r="E54" s="54">
        <f t="shared" si="22"/>
        <v>0.14678641973308515</v>
      </c>
      <c r="F54" s="54">
        <f t="shared" si="22"/>
        <v>-0.25765966783991184</v>
      </c>
      <c r="G54" s="54">
        <f t="shared" si="23"/>
        <v>0.34893554773392116</v>
      </c>
      <c r="H54" s="54">
        <f t="shared" si="17"/>
        <v>0.26422592259395455</v>
      </c>
      <c r="I54" s="54">
        <f t="shared" si="17"/>
        <v>0.57446777386696057</v>
      </c>
      <c r="J54" s="8"/>
      <c r="K54" s="8"/>
      <c r="L54" s="8"/>
      <c r="M54" s="8"/>
      <c r="Q54"/>
      <c r="R54"/>
      <c r="S54"/>
      <c r="T54"/>
      <c r="U54"/>
      <c r="V54"/>
      <c r="W54"/>
      <c r="X54"/>
      <c r="Y54"/>
    </row>
    <row r="55" spans="1:25" s="1" customFormat="1" ht="15.5" x14ac:dyDescent="0.35">
      <c r="A55" s="39"/>
      <c r="B55" s="55"/>
      <c r="C55" s="55"/>
      <c r="D55" s="55" t="s">
        <v>23</v>
      </c>
      <c r="E55" s="55"/>
      <c r="F55" s="55"/>
      <c r="G55" s="39"/>
      <c r="H55" s="39"/>
      <c r="I55" s="39"/>
      <c r="J55" s="8"/>
      <c r="K55" s="8"/>
      <c r="L55" s="8"/>
      <c r="M55" s="8"/>
      <c r="Q55"/>
      <c r="R55"/>
      <c r="S55"/>
      <c r="T55"/>
      <c r="U55"/>
      <c r="V55"/>
      <c r="W55"/>
      <c r="X55"/>
      <c r="Y55"/>
    </row>
    <row r="56" spans="1:25" x14ac:dyDescent="0.25">
      <c r="A56" s="56">
        <f>[1]Sheet1!A51</f>
        <v>0.49678641973308518</v>
      </c>
      <c r="B56" s="56">
        <f>[1]Sheet1!B51</f>
        <v>0.34234033216008813</v>
      </c>
      <c r="C56" s="56">
        <f>[1]Sheet1!C51</f>
        <v>0.19678641973308517</v>
      </c>
      <c r="D56" s="56">
        <f>[1]Sheet1!D51</f>
        <v>-0.10765966783991184</v>
      </c>
      <c r="E56" s="56">
        <f>[1]Sheet1!E51</f>
        <v>0.14678641973308515</v>
      </c>
      <c r="F56" s="56">
        <f>[1]Sheet1!F51</f>
        <v>-0.25765966783991184</v>
      </c>
      <c r="G56" s="56">
        <f>[1]Sheet1!G51</f>
        <v>0.34893554773392116</v>
      </c>
      <c r="H56" s="56">
        <f>[1]Sheet1!H51</f>
        <v>0.26422592259395455</v>
      </c>
      <c r="I56" s="56">
        <f>[1]Sheet1!I51</f>
        <v>0.57446777386696057</v>
      </c>
    </row>
    <row r="57" spans="1:25" x14ac:dyDescent="0.25">
      <c r="A57" s="38"/>
      <c r="B57" s="60" t="s">
        <v>27</v>
      </c>
      <c r="C57" s="38"/>
      <c r="D57" s="38"/>
      <c r="E57" s="38"/>
      <c r="F57" s="38"/>
      <c r="G57" s="38"/>
      <c r="H57" s="38"/>
      <c r="I57" s="38"/>
    </row>
    <row r="58" spans="1:25" x14ac:dyDescent="0.25">
      <c r="A58" s="38"/>
      <c r="B58" s="59"/>
      <c r="C58" s="38"/>
      <c r="D58" s="38"/>
      <c r="E58" s="38"/>
      <c r="F58" s="38"/>
      <c r="G58" s="38"/>
      <c r="H58" s="38"/>
      <c r="I58" s="38"/>
    </row>
    <row r="59" spans="1:25" s="1" customFormat="1" ht="15.5" x14ac:dyDescent="0.35">
      <c r="A59" s="25" t="s">
        <v>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Q59"/>
      <c r="R59"/>
      <c r="S59"/>
      <c r="T59"/>
      <c r="U59"/>
      <c r="V59"/>
      <c r="W59"/>
      <c r="X59"/>
      <c r="Y59"/>
    </row>
    <row r="60" spans="1:25" ht="13" x14ac:dyDescent="0.3">
      <c r="A60" s="8" t="s">
        <v>31</v>
      </c>
    </row>
  </sheetData>
  <phoneticPr fontId="0" type="noConversion"/>
  <pageMargins left="0.94488188976377963" right="0.35433070866141736" top="0.78740157480314965" bottom="0.78740157480314965" header="0.51181102362204722" footer="0.51181102362204722"/>
  <pageSetup paperSize="9" orientation="landscape" r:id="rId1"/>
  <headerFooter alignWithMargins="0">
    <oddHeader>&amp;C&amp;"Arial,Bold"&amp;12Lab5</oddHeader>
    <oddFooter xml:space="preserve">&amp;L&amp;D&amp;CProf. I. Jordanov&amp;R&amp;P of 3 </oddFooter>
  </headerFooter>
  <rowBreaks count="1" manualBreakCount="1">
    <brk id="11" max="16383" man="1"/>
  </rowBreaks>
  <drawing r:id="rId2"/>
  <legacyDrawing r:id="rId3"/>
  <oleObjects>
    <mc:AlternateContent xmlns:mc="http://schemas.openxmlformats.org/markup-compatibility/2006">
      <mc:Choice Requires="x14">
        <oleObject progId="Equation" shapeId="1025" r:id="rId4">
          <objectPr defaultSize="0" r:id="rId5">
            <anchor moveWithCells="1">
              <from>
                <xdr:col>0</xdr:col>
                <xdr:colOff>69850</xdr:colOff>
                <xdr:row>40</xdr:row>
                <xdr:rowOff>31750</xdr:rowOff>
              </from>
              <to>
                <xdr:col>2</xdr:col>
                <xdr:colOff>685800</xdr:colOff>
                <xdr:row>40</xdr:row>
                <xdr:rowOff>514350</xdr:rowOff>
              </to>
            </anchor>
          </objectPr>
        </oleObject>
      </mc:Choice>
      <mc:Fallback>
        <oleObject progId="Equation" shapeId="1025" r:id="rId4"/>
      </mc:Fallback>
    </mc:AlternateContent>
    <mc:AlternateContent xmlns:mc="http://schemas.openxmlformats.org/markup-compatibility/2006">
      <mc:Choice Requires="x14">
        <oleObject progId="Equation" shapeId="1026" r:id="rId6">
          <objectPr defaultSize="0" r:id="rId7">
            <anchor moveWithCells="1">
              <from>
                <xdr:col>0</xdr:col>
                <xdr:colOff>133350</xdr:colOff>
                <xdr:row>41</xdr:row>
                <xdr:rowOff>69850</xdr:rowOff>
              </from>
              <to>
                <xdr:col>0</xdr:col>
                <xdr:colOff>546100</xdr:colOff>
                <xdr:row>41</xdr:row>
                <xdr:rowOff>266700</xdr:rowOff>
              </to>
            </anchor>
          </objectPr>
        </oleObject>
      </mc:Choice>
      <mc:Fallback>
        <oleObject progId="Equation" shapeId="1026" r:id="rId6"/>
      </mc:Fallback>
    </mc:AlternateContent>
    <mc:AlternateContent xmlns:mc="http://schemas.openxmlformats.org/markup-compatibility/2006">
      <mc:Choice Requires="x14">
        <oleObject progId="Equation" shapeId="1027" r:id="rId8">
          <objectPr defaultSize="0" r:id="rId9">
            <anchor moveWithCells="1">
              <from>
                <xdr:col>1</xdr:col>
                <xdr:colOff>38100</xdr:colOff>
                <xdr:row>41</xdr:row>
                <xdr:rowOff>69850</xdr:rowOff>
              </from>
              <to>
                <xdr:col>1</xdr:col>
                <xdr:colOff>450850</xdr:colOff>
                <xdr:row>41</xdr:row>
                <xdr:rowOff>266700</xdr:rowOff>
              </to>
            </anchor>
          </objectPr>
        </oleObject>
      </mc:Choice>
      <mc:Fallback>
        <oleObject progId="Equation" shapeId="1027" r:id="rId8"/>
      </mc:Fallback>
    </mc:AlternateContent>
    <mc:AlternateContent xmlns:mc="http://schemas.openxmlformats.org/markup-compatibility/2006">
      <mc:Choice Requires="x14">
        <oleObject progId="Equation" shapeId="1028" r:id="rId10">
          <objectPr defaultSize="0" r:id="rId11">
            <anchor moveWithCells="1">
              <from>
                <xdr:col>2</xdr:col>
                <xdr:colOff>152400</xdr:colOff>
                <xdr:row>41</xdr:row>
                <xdr:rowOff>69850</xdr:rowOff>
              </from>
              <to>
                <xdr:col>2</xdr:col>
                <xdr:colOff>565150</xdr:colOff>
                <xdr:row>41</xdr:row>
                <xdr:rowOff>266700</xdr:rowOff>
              </to>
            </anchor>
          </objectPr>
        </oleObject>
      </mc:Choice>
      <mc:Fallback>
        <oleObject progId="Equation" shapeId="1028" r:id="rId10"/>
      </mc:Fallback>
    </mc:AlternateContent>
    <mc:AlternateContent xmlns:mc="http://schemas.openxmlformats.org/markup-compatibility/2006">
      <mc:Choice Requires="x14">
        <oleObject progId="Equation" shapeId="1029" r:id="rId12">
          <objectPr defaultSize="0" r:id="rId13">
            <anchor moveWithCells="1">
              <from>
                <xdr:col>4</xdr:col>
                <xdr:colOff>393700</xdr:colOff>
                <xdr:row>40</xdr:row>
                <xdr:rowOff>38100</xdr:rowOff>
              </from>
              <to>
                <xdr:col>6</xdr:col>
                <xdr:colOff>698500</xdr:colOff>
                <xdr:row>40</xdr:row>
                <xdr:rowOff>527050</xdr:rowOff>
              </to>
            </anchor>
          </objectPr>
        </oleObject>
      </mc:Choice>
      <mc:Fallback>
        <oleObject progId="Equation" shapeId="1029" r:id="rId12"/>
      </mc:Fallback>
    </mc:AlternateContent>
    <mc:AlternateContent xmlns:mc="http://schemas.openxmlformats.org/markup-compatibility/2006">
      <mc:Choice Requires="x14">
        <oleObject progId="Equation" shapeId="1030" r:id="rId14">
          <objectPr defaultSize="0" r:id="rId15">
            <anchor moveWithCells="1">
              <from>
                <xdr:col>3</xdr:col>
                <xdr:colOff>127000</xdr:colOff>
                <xdr:row>41</xdr:row>
                <xdr:rowOff>76200</xdr:rowOff>
              </from>
              <to>
                <xdr:col>3</xdr:col>
                <xdr:colOff>514350</xdr:colOff>
                <xdr:row>41</xdr:row>
                <xdr:rowOff>279400</xdr:rowOff>
              </to>
            </anchor>
          </objectPr>
        </oleObject>
      </mc:Choice>
      <mc:Fallback>
        <oleObject progId="Equation" shapeId="1030" r:id="rId14"/>
      </mc:Fallback>
    </mc:AlternateContent>
    <mc:AlternateContent xmlns:mc="http://schemas.openxmlformats.org/markup-compatibility/2006">
      <mc:Choice Requires="x14">
        <oleObject progId="Equation" shapeId="1031" r:id="rId16">
          <objectPr defaultSize="0" r:id="rId17">
            <anchor moveWithCells="1">
              <from>
                <xdr:col>4</xdr:col>
                <xdr:colOff>127000</xdr:colOff>
                <xdr:row>41</xdr:row>
                <xdr:rowOff>76200</xdr:rowOff>
              </from>
              <to>
                <xdr:col>4</xdr:col>
                <xdr:colOff>514350</xdr:colOff>
                <xdr:row>41</xdr:row>
                <xdr:rowOff>279400</xdr:rowOff>
              </to>
            </anchor>
          </objectPr>
        </oleObject>
      </mc:Choice>
      <mc:Fallback>
        <oleObject progId="Equation" shapeId="1031" r:id="rId16"/>
      </mc:Fallback>
    </mc:AlternateContent>
    <mc:AlternateContent xmlns:mc="http://schemas.openxmlformats.org/markup-compatibility/2006">
      <mc:Choice Requires="x14">
        <oleObject progId="Equation" shapeId="1032" r:id="rId18">
          <objectPr defaultSize="0" r:id="rId19">
            <anchor moveWithCells="1">
              <from>
                <xdr:col>5</xdr:col>
                <xdr:colOff>127000</xdr:colOff>
                <xdr:row>41</xdr:row>
                <xdr:rowOff>69850</xdr:rowOff>
              </from>
              <to>
                <xdr:col>5</xdr:col>
                <xdr:colOff>508000</xdr:colOff>
                <xdr:row>41</xdr:row>
                <xdr:rowOff>266700</xdr:rowOff>
              </to>
            </anchor>
          </objectPr>
        </oleObject>
      </mc:Choice>
      <mc:Fallback>
        <oleObject progId="Equation" shapeId="1032" r:id="rId18"/>
      </mc:Fallback>
    </mc:AlternateContent>
    <mc:AlternateContent xmlns:mc="http://schemas.openxmlformats.org/markup-compatibility/2006">
      <mc:Choice Requires="x14">
        <oleObject progId="Equation" shapeId="1033" r:id="rId20">
          <objectPr defaultSize="0" r:id="rId21">
            <anchor moveWithCells="1">
              <from>
                <xdr:col>6</xdr:col>
                <xdr:colOff>247650</xdr:colOff>
                <xdr:row>41</xdr:row>
                <xdr:rowOff>76200</xdr:rowOff>
              </from>
              <to>
                <xdr:col>6</xdr:col>
                <xdr:colOff>641350</xdr:colOff>
                <xdr:row>41</xdr:row>
                <xdr:rowOff>279400</xdr:rowOff>
              </to>
            </anchor>
          </objectPr>
        </oleObject>
      </mc:Choice>
      <mc:Fallback>
        <oleObject progId="Equation" shapeId="1033" r:id="rId20"/>
      </mc:Fallback>
    </mc:AlternateContent>
    <mc:AlternateContent xmlns:mc="http://schemas.openxmlformats.org/markup-compatibility/2006">
      <mc:Choice Requires="x14">
        <oleObject progId="Equation" shapeId="1034" r:id="rId22">
          <objectPr defaultSize="0" r:id="rId23">
            <anchor moveWithCells="1">
              <from>
                <xdr:col>7</xdr:col>
                <xdr:colOff>190500</xdr:colOff>
                <xdr:row>41</xdr:row>
                <xdr:rowOff>76200</xdr:rowOff>
              </from>
              <to>
                <xdr:col>7</xdr:col>
                <xdr:colOff>584200</xdr:colOff>
                <xdr:row>41</xdr:row>
                <xdr:rowOff>279400</xdr:rowOff>
              </to>
            </anchor>
          </objectPr>
        </oleObject>
      </mc:Choice>
      <mc:Fallback>
        <oleObject progId="Equation" shapeId="1034" r:id="rId22"/>
      </mc:Fallback>
    </mc:AlternateContent>
    <mc:AlternateContent xmlns:mc="http://schemas.openxmlformats.org/markup-compatibility/2006">
      <mc:Choice Requires="x14">
        <oleObject progId="Equation" shapeId="1035" r:id="rId24">
          <objectPr defaultSize="0" r:id="rId25">
            <anchor moveWithCells="1">
              <from>
                <xdr:col>8</xdr:col>
                <xdr:colOff>38100</xdr:colOff>
                <xdr:row>41</xdr:row>
                <xdr:rowOff>76200</xdr:rowOff>
              </from>
              <to>
                <xdr:col>8</xdr:col>
                <xdr:colOff>431800</xdr:colOff>
                <xdr:row>41</xdr:row>
                <xdr:rowOff>279400</xdr:rowOff>
              </to>
            </anchor>
          </objectPr>
        </oleObject>
      </mc:Choice>
      <mc:Fallback>
        <oleObject progId="Equation" shapeId="1035" r:id="rId24"/>
      </mc:Fallback>
    </mc:AlternateContent>
    <mc:AlternateContent xmlns:mc="http://schemas.openxmlformats.org/markup-compatibility/2006">
      <mc:Choice Requires="x14">
        <oleObject progId="Equation" shapeId="1036" r:id="rId26">
          <objectPr defaultSize="0" r:id="rId27">
            <anchor moveWithCells="1">
              <from>
                <xdr:col>4</xdr:col>
                <xdr:colOff>203200</xdr:colOff>
                <xdr:row>9</xdr:row>
                <xdr:rowOff>31750</xdr:rowOff>
              </from>
              <to>
                <xdr:col>4</xdr:col>
                <xdr:colOff>342900</xdr:colOff>
                <xdr:row>9</xdr:row>
                <xdr:rowOff>209550</xdr:rowOff>
              </to>
            </anchor>
          </objectPr>
        </oleObject>
      </mc:Choice>
      <mc:Fallback>
        <oleObject progId="Equation" shapeId="1036" r:id="rId26"/>
      </mc:Fallback>
    </mc:AlternateContent>
    <mc:AlternateContent xmlns:mc="http://schemas.openxmlformats.org/markup-compatibility/2006">
      <mc:Choice Requires="x14">
        <oleObject progId="Equation" shapeId="1037" r:id="rId28">
          <objectPr defaultSize="0" r:id="rId27">
            <anchor moveWithCells="1">
              <from>
                <xdr:col>5</xdr:col>
                <xdr:colOff>323850</xdr:colOff>
                <xdr:row>6</xdr:row>
                <xdr:rowOff>88900</xdr:rowOff>
              </from>
              <to>
                <xdr:col>5</xdr:col>
                <xdr:colOff>469900</xdr:colOff>
                <xdr:row>7</xdr:row>
                <xdr:rowOff>0</xdr:rowOff>
              </to>
            </anchor>
          </objectPr>
        </oleObject>
      </mc:Choice>
      <mc:Fallback>
        <oleObject progId="Equation" shapeId="1037" r:id="rId28"/>
      </mc:Fallback>
    </mc:AlternateContent>
    <mc:AlternateContent xmlns:mc="http://schemas.openxmlformats.org/markup-compatibility/2006">
      <mc:Choice Requires="x14">
        <oleObject progId="Equation" shapeId="1038" r:id="rId29">
          <objectPr defaultSize="0" r:id="rId30">
            <anchor moveWithCells="1">
              <from>
                <xdr:col>5</xdr:col>
                <xdr:colOff>190500</xdr:colOff>
                <xdr:row>9</xdr:row>
                <xdr:rowOff>38100</xdr:rowOff>
              </from>
              <to>
                <xdr:col>5</xdr:col>
                <xdr:colOff>355600</xdr:colOff>
                <xdr:row>9</xdr:row>
                <xdr:rowOff>190500</xdr:rowOff>
              </to>
            </anchor>
          </objectPr>
        </oleObject>
      </mc:Choice>
      <mc:Fallback>
        <oleObject progId="Equation" shapeId="1038" r:id="rId29"/>
      </mc:Fallback>
    </mc:AlternateContent>
    <mc:AlternateContent xmlns:mc="http://schemas.openxmlformats.org/markup-compatibility/2006">
      <mc:Choice Requires="x14">
        <oleObject progId="Equation" shapeId="1040" r:id="rId31">
          <objectPr defaultSize="0" r:id="rId30">
            <anchor moveWithCells="1">
              <from>
                <xdr:col>7</xdr:col>
                <xdr:colOff>298450</xdr:colOff>
                <xdr:row>6</xdr:row>
                <xdr:rowOff>107950</xdr:rowOff>
              </from>
              <to>
                <xdr:col>7</xdr:col>
                <xdr:colOff>457200</xdr:colOff>
                <xdr:row>6</xdr:row>
                <xdr:rowOff>260350</xdr:rowOff>
              </to>
            </anchor>
          </objectPr>
        </oleObject>
      </mc:Choice>
      <mc:Fallback>
        <oleObject progId="Equation" shapeId="1040" r:id="rId31"/>
      </mc:Fallback>
    </mc:AlternateContent>
    <mc:AlternateContent xmlns:mc="http://schemas.openxmlformats.org/markup-compatibility/2006">
      <mc:Choice Requires="x14">
        <oleObject progId="Equation" shapeId="1041" r:id="rId32">
          <objectPr defaultSize="0" r:id="rId33">
            <anchor moveWithCells="1">
              <from>
                <xdr:col>1</xdr:col>
                <xdr:colOff>228600</xdr:colOff>
                <xdr:row>48</xdr:row>
                <xdr:rowOff>38100</xdr:rowOff>
              </from>
              <to>
                <xdr:col>4</xdr:col>
                <xdr:colOff>781050</xdr:colOff>
                <xdr:row>48</xdr:row>
                <xdr:rowOff>298450</xdr:rowOff>
              </to>
            </anchor>
          </objectPr>
        </oleObject>
      </mc:Choice>
      <mc:Fallback>
        <oleObject progId="Equation" shapeId="1041" r:id="rId32"/>
      </mc:Fallback>
    </mc:AlternateContent>
    <mc:AlternateContent xmlns:mc="http://schemas.openxmlformats.org/markup-compatibility/2006">
      <mc:Choice Requires="x14">
        <oleObject progId="Equation" shapeId="1042" r:id="rId34">
          <objectPr defaultSize="0" r:id="rId35">
            <anchor moveWithCells="1">
              <from>
                <xdr:col>0</xdr:col>
                <xdr:colOff>203200</xdr:colOff>
                <xdr:row>49</xdr:row>
                <xdr:rowOff>69850</xdr:rowOff>
              </from>
              <to>
                <xdr:col>0</xdr:col>
                <xdr:colOff>495300</xdr:colOff>
                <xdr:row>49</xdr:row>
                <xdr:rowOff>266700</xdr:rowOff>
              </to>
            </anchor>
          </objectPr>
        </oleObject>
      </mc:Choice>
      <mc:Fallback>
        <oleObject progId="Equation" shapeId="1042" r:id="rId34"/>
      </mc:Fallback>
    </mc:AlternateContent>
    <mc:AlternateContent xmlns:mc="http://schemas.openxmlformats.org/markup-compatibility/2006">
      <mc:Choice Requires="x14">
        <oleObject progId="Equation" shapeId="1043" r:id="rId36">
          <objectPr defaultSize="0" r:id="rId37">
            <anchor moveWithCells="1">
              <from>
                <xdr:col>1</xdr:col>
                <xdr:colOff>88900</xdr:colOff>
                <xdr:row>49</xdr:row>
                <xdr:rowOff>76200</xdr:rowOff>
              </from>
              <to>
                <xdr:col>1</xdr:col>
                <xdr:colOff>393700</xdr:colOff>
                <xdr:row>49</xdr:row>
                <xdr:rowOff>279400</xdr:rowOff>
              </to>
            </anchor>
          </objectPr>
        </oleObject>
      </mc:Choice>
      <mc:Fallback>
        <oleObject progId="Equation" shapeId="1043" r:id="rId36"/>
      </mc:Fallback>
    </mc:AlternateContent>
    <mc:AlternateContent xmlns:mc="http://schemas.openxmlformats.org/markup-compatibility/2006">
      <mc:Choice Requires="x14">
        <oleObject progId="Equation" shapeId="1044" r:id="rId38">
          <objectPr defaultSize="0" r:id="rId39">
            <anchor moveWithCells="1">
              <from>
                <xdr:col>2</xdr:col>
                <xdr:colOff>260350</xdr:colOff>
                <xdr:row>49</xdr:row>
                <xdr:rowOff>76200</xdr:rowOff>
              </from>
              <to>
                <xdr:col>2</xdr:col>
                <xdr:colOff>552450</xdr:colOff>
                <xdr:row>49</xdr:row>
                <xdr:rowOff>279400</xdr:rowOff>
              </to>
            </anchor>
          </objectPr>
        </oleObject>
      </mc:Choice>
      <mc:Fallback>
        <oleObject progId="Equation" shapeId="1044" r:id="rId38"/>
      </mc:Fallback>
    </mc:AlternateContent>
    <mc:AlternateContent xmlns:mc="http://schemas.openxmlformats.org/markup-compatibility/2006">
      <mc:Choice Requires="x14">
        <oleObject progId="Equation" shapeId="1045" r:id="rId40">
          <objectPr defaultSize="0" r:id="rId41">
            <anchor moveWithCells="1">
              <from>
                <xdr:col>3</xdr:col>
                <xdr:colOff>146050</xdr:colOff>
                <xdr:row>49</xdr:row>
                <xdr:rowOff>69850</xdr:rowOff>
              </from>
              <to>
                <xdr:col>3</xdr:col>
                <xdr:colOff>450850</xdr:colOff>
                <xdr:row>49</xdr:row>
                <xdr:rowOff>266700</xdr:rowOff>
              </to>
            </anchor>
          </objectPr>
        </oleObject>
      </mc:Choice>
      <mc:Fallback>
        <oleObject progId="Equation" shapeId="1045" r:id="rId40"/>
      </mc:Fallback>
    </mc:AlternateContent>
    <mc:AlternateContent xmlns:mc="http://schemas.openxmlformats.org/markup-compatibility/2006">
      <mc:Choice Requires="x14">
        <oleObject progId="Equation" shapeId="1046" r:id="rId42">
          <objectPr defaultSize="0" r:id="rId43">
            <anchor moveWithCells="1">
              <from>
                <xdr:col>4</xdr:col>
                <xdr:colOff>127000</xdr:colOff>
                <xdr:row>49</xdr:row>
                <xdr:rowOff>76200</xdr:rowOff>
              </from>
              <to>
                <xdr:col>4</xdr:col>
                <xdr:colOff>419100</xdr:colOff>
                <xdr:row>49</xdr:row>
                <xdr:rowOff>279400</xdr:rowOff>
              </to>
            </anchor>
          </objectPr>
        </oleObject>
      </mc:Choice>
      <mc:Fallback>
        <oleObject progId="Equation" shapeId="1046" r:id="rId42"/>
      </mc:Fallback>
    </mc:AlternateContent>
    <mc:AlternateContent xmlns:mc="http://schemas.openxmlformats.org/markup-compatibility/2006">
      <mc:Choice Requires="x14">
        <oleObject progId="Equation" shapeId="1047" r:id="rId44">
          <objectPr defaultSize="0" r:id="rId45">
            <anchor moveWithCells="1">
              <from>
                <xdr:col>5</xdr:col>
                <xdr:colOff>76200</xdr:colOff>
                <xdr:row>49</xdr:row>
                <xdr:rowOff>69850</xdr:rowOff>
              </from>
              <to>
                <xdr:col>5</xdr:col>
                <xdr:colOff>381000</xdr:colOff>
                <xdr:row>49</xdr:row>
                <xdr:rowOff>266700</xdr:rowOff>
              </to>
            </anchor>
          </objectPr>
        </oleObject>
      </mc:Choice>
      <mc:Fallback>
        <oleObject progId="Equation" shapeId="1047" r:id="rId44"/>
      </mc:Fallback>
    </mc:AlternateContent>
    <mc:AlternateContent xmlns:mc="http://schemas.openxmlformats.org/markup-compatibility/2006">
      <mc:Choice Requires="x14">
        <oleObject progId="Equation" shapeId="1049" r:id="rId46">
          <objectPr defaultSize="0" r:id="rId47">
            <anchor moveWithCells="1">
              <from>
                <xdr:col>6</xdr:col>
                <xdr:colOff>190500</xdr:colOff>
                <xdr:row>49</xdr:row>
                <xdr:rowOff>69850</xdr:rowOff>
              </from>
              <to>
                <xdr:col>6</xdr:col>
                <xdr:colOff>508000</xdr:colOff>
                <xdr:row>49</xdr:row>
                <xdr:rowOff>266700</xdr:rowOff>
              </to>
            </anchor>
          </objectPr>
        </oleObject>
      </mc:Choice>
      <mc:Fallback>
        <oleObject progId="Equation" shapeId="1049" r:id="rId46"/>
      </mc:Fallback>
    </mc:AlternateContent>
    <mc:AlternateContent xmlns:mc="http://schemas.openxmlformats.org/markup-compatibility/2006">
      <mc:Choice Requires="x14">
        <oleObject progId="Equation" shapeId="1050" r:id="rId48">
          <objectPr defaultSize="0" r:id="rId49">
            <anchor moveWithCells="1">
              <from>
                <xdr:col>7</xdr:col>
                <xdr:colOff>203200</xdr:colOff>
                <xdr:row>49</xdr:row>
                <xdr:rowOff>76200</xdr:rowOff>
              </from>
              <to>
                <xdr:col>7</xdr:col>
                <xdr:colOff>514350</xdr:colOff>
                <xdr:row>49</xdr:row>
                <xdr:rowOff>279400</xdr:rowOff>
              </to>
            </anchor>
          </objectPr>
        </oleObject>
      </mc:Choice>
      <mc:Fallback>
        <oleObject progId="Equation" shapeId="1050" r:id="rId48"/>
      </mc:Fallback>
    </mc:AlternateContent>
    <mc:AlternateContent xmlns:mc="http://schemas.openxmlformats.org/markup-compatibility/2006">
      <mc:Choice Requires="x14">
        <oleObject progId="Equation" shapeId="1051" r:id="rId50">
          <objectPr defaultSize="0" r:id="rId51">
            <anchor moveWithCells="1">
              <from>
                <xdr:col>8</xdr:col>
                <xdr:colOff>133350</xdr:colOff>
                <xdr:row>49</xdr:row>
                <xdr:rowOff>76200</xdr:rowOff>
              </from>
              <to>
                <xdr:col>8</xdr:col>
                <xdr:colOff>450850</xdr:colOff>
                <xdr:row>49</xdr:row>
                <xdr:rowOff>279400</xdr:rowOff>
              </to>
            </anchor>
          </objectPr>
        </oleObject>
      </mc:Choice>
      <mc:Fallback>
        <oleObject progId="Equation" shapeId="1051" r:id="rId50"/>
      </mc:Fallback>
    </mc:AlternateContent>
    <mc:AlternateContent xmlns:mc="http://schemas.openxmlformats.org/markup-compatibility/2006">
      <mc:Choice Requires="x14">
        <oleObject progId="Equation" shapeId="1052" r:id="rId52">
          <objectPr defaultSize="0" r:id="rId53">
            <anchor moveWithCells="1">
              <from>
                <xdr:col>6</xdr:col>
                <xdr:colOff>19050</xdr:colOff>
                <xdr:row>48</xdr:row>
                <xdr:rowOff>31750</xdr:rowOff>
              </from>
              <to>
                <xdr:col>8</xdr:col>
                <xdr:colOff>19050</xdr:colOff>
                <xdr:row>48</xdr:row>
                <xdr:rowOff>514350</xdr:rowOff>
              </to>
            </anchor>
          </objectPr>
        </oleObject>
      </mc:Choice>
      <mc:Fallback>
        <oleObject progId="Equation" shapeId="1052" r:id="rId52"/>
      </mc:Fallback>
    </mc:AlternateContent>
    <mc:AlternateContent xmlns:mc="http://schemas.openxmlformats.org/markup-compatibility/2006">
      <mc:Choice Requires="x14">
        <oleObject progId="Equation" shapeId="1053" r:id="rId54">
          <objectPr defaultSize="0" r:id="rId55">
            <anchor moveWithCells="1">
              <from>
                <xdr:col>9</xdr:col>
                <xdr:colOff>31750</xdr:colOff>
                <xdr:row>13</xdr:row>
                <xdr:rowOff>19050</xdr:rowOff>
              </from>
              <to>
                <xdr:col>10</xdr:col>
                <xdr:colOff>431800</xdr:colOff>
                <xdr:row>13</xdr:row>
                <xdr:rowOff>603250</xdr:rowOff>
              </to>
            </anchor>
          </objectPr>
        </oleObject>
      </mc:Choice>
      <mc:Fallback>
        <oleObject progId="Equation" shapeId="1053" r:id="rId54"/>
      </mc:Fallback>
    </mc:AlternateContent>
    <mc:AlternateContent xmlns:mc="http://schemas.openxmlformats.org/markup-compatibility/2006">
      <mc:Choice Requires="x14">
        <oleObject progId="Equation" shapeId="1054" r:id="rId56">
          <objectPr defaultSize="0" r:id="rId57">
            <anchor moveWithCells="1">
              <from>
                <xdr:col>9</xdr:col>
                <xdr:colOff>133350</xdr:colOff>
                <xdr:row>14</xdr:row>
                <xdr:rowOff>19050</xdr:rowOff>
              </from>
              <to>
                <xdr:col>9</xdr:col>
                <xdr:colOff>285750</xdr:colOff>
                <xdr:row>14</xdr:row>
                <xdr:rowOff>222250</xdr:rowOff>
              </to>
            </anchor>
          </objectPr>
        </oleObject>
      </mc:Choice>
      <mc:Fallback>
        <oleObject progId="Equation" shapeId="1054" r:id="rId56"/>
      </mc:Fallback>
    </mc:AlternateContent>
    <mc:AlternateContent xmlns:mc="http://schemas.openxmlformats.org/markup-compatibility/2006">
      <mc:Choice Requires="x14">
        <oleObject progId="Equation" shapeId="1055" r:id="rId58">
          <objectPr defaultSize="0" r:id="rId59">
            <anchor moveWithCells="1">
              <from>
                <xdr:col>10</xdr:col>
                <xdr:colOff>133350</xdr:colOff>
                <xdr:row>14</xdr:row>
                <xdr:rowOff>19050</xdr:rowOff>
              </from>
              <to>
                <xdr:col>10</xdr:col>
                <xdr:colOff>317500</xdr:colOff>
                <xdr:row>14</xdr:row>
                <xdr:rowOff>222250</xdr:rowOff>
              </to>
            </anchor>
          </objectPr>
        </oleObject>
      </mc:Choice>
      <mc:Fallback>
        <oleObject progId="Equation" shapeId="1055" r:id="rId58"/>
      </mc:Fallback>
    </mc:AlternateContent>
    <mc:AlternateContent xmlns:mc="http://schemas.openxmlformats.org/markup-compatibility/2006">
      <mc:Choice Requires="x14">
        <oleObject progId="Equation" shapeId="1056" r:id="rId60">
          <objectPr defaultSize="0" r:id="rId61">
            <anchor moveWithCells="1">
              <from>
                <xdr:col>11</xdr:col>
                <xdr:colOff>31750</xdr:colOff>
                <xdr:row>13</xdr:row>
                <xdr:rowOff>12700</xdr:rowOff>
              </from>
              <to>
                <xdr:col>12</xdr:col>
                <xdr:colOff>552450</xdr:colOff>
                <xdr:row>13</xdr:row>
                <xdr:rowOff>571500</xdr:rowOff>
              </to>
            </anchor>
          </objectPr>
        </oleObject>
      </mc:Choice>
      <mc:Fallback>
        <oleObject progId="Equation" shapeId="1056" r:id="rId60"/>
      </mc:Fallback>
    </mc:AlternateContent>
    <mc:AlternateContent xmlns:mc="http://schemas.openxmlformats.org/markup-compatibility/2006">
      <mc:Choice Requires="x14">
        <oleObject progId="Equation" shapeId="1057" r:id="rId62">
          <objectPr defaultSize="0" r:id="rId63">
            <anchor moveWithCells="1">
              <from>
                <xdr:col>11</xdr:col>
                <xdr:colOff>152400</xdr:colOff>
                <xdr:row>14</xdr:row>
                <xdr:rowOff>19050</xdr:rowOff>
              </from>
              <to>
                <xdr:col>11</xdr:col>
                <xdr:colOff>304800</xdr:colOff>
                <xdr:row>14</xdr:row>
                <xdr:rowOff>222250</xdr:rowOff>
              </to>
            </anchor>
          </objectPr>
        </oleObject>
      </mc:Choice>
      <mc:Fallback>
        <oleObject progId="Equation" shapeId="1057" r:id="rId62"/>
      </mc:Fallback>
    </mc:AlternateContent>
    <mc:AlternateContent xmlns:mc="http://schemas.openxmlformats.org/markup-compatibility/2006">
      <mc:Choice Requires="x14">
        <oleObject progId="Equation" shapeId="1058" r:id="rId64">
          <objectPr defaultSize="0" r:id="rId65">
            <anchor moveWithCells="1">
              <from>
                <xdr:col>12</xdr:col>
                <xdr:colOff>107950</xdr:colOff>
                <xdr:row>14</xdr:row>
                <xdr:rowOff>19050</xdr:rowOff>
              </from>
              <to>
                <xdr:col>12</xdr:col>
                <xdr:colOff>266700</xdr:colOff>
                <xdr:row>14</xdr:row>
                <xdr:rowOff>222250</xdr:rowOff>
              </to>
            </anchor>
          </objectPr>
        </oleObject>
      </mc:Choice>
      <mc:Fallback>
        <oleObject progId="Equation" shapeId="1058" r:id="rId64"/>
      </mc:Fallback>
    </mc:AlternateContent>
    <mc:AlternateContent xmlns:mc="http://schemas.openxmlformats.org/markup-compatibility/2006">
      <mc:Choice Requires="x14">
        <oleObject progId="Equation" shapeId="1059" r:id="rId66">
          <objectPr defaultSize="0" r:id="rId67">
            <anchor moveWithCells="1">
              <from>
                <xdr:col>1</xdr:col>
                <xdr:colOff>31750</xdr:colOff>
                <xdr:row>13</xdr:row>
                <xdr:rowOff>114300</xdr:rowOff>
              </from>
              <to>
                <xdr:col>1</xdr:col>
                <xdr:colOff>209550</xdr:colOff>
                <xdr:row>13</xdr:row>
                <xdr:rowOff>298450</xdr:rowOff>
              </to>
            </anchor>
          </objectPr>
        </oleObject>
      </mc:Choice>
      <mc:Fallback>
        <oleObject progId="Equation" shapeId="1059" r:id="rId66"/>
      </mc:Fallback>
    </mc:AlternateContent>
    <mc:AlternateContent xmlns:mc="http://schemas.openxmlformats.org/markup-compatibility/2006">
      <mc:Choice Requires="x14">
        <oleObject progId="Equation" shapeId="1060" r:id="rId68">
          <objectPr defaultSize="0" r:id="rId69">
            <anchor moveWithCells="1">
              <from>
                <xdr:col>5</xdr:col>
                <xdr:colOff>450850</xdr:colOff>
                <xdr:row>13</xdr:row>
                <xdr:rowOff>114300</xdr:rowOff>
              </from>
              <to>
                <xdr:col>6</xdr:col>
                <xdr:colOff>107950</xdr:colOff>
                <xdr:row>13</xdr:row>
                <xdr:rowOff>298450</xdr:rowOff>
              </to>
            </anchor>
          </objectPr>
        </oleObject>
      </mc:Choice>
      <mc:Fallback>
        <oleObject progId="Equation" shapeId="1060" r:id="rId68"/>
      </mc:Fallback>
    </mc:AlternateContent>
    <mc:AlternateContent xmlns:mc="http://schemas.openxmlformats.org/markup-compatibility/2006">
      <mc:Choice Requires="x14">
        <oleObject progId="Equation" shapeId="1061" r:id="rId70">
          <objectPr defaultSize="0" r:id="rId71">
            <anchor moveWithCells="1">
              <from>
                <xdr:col>0</xdr:col>
                <xdr:colOff>285750</xdr:colOff>
                <xdr:row>14</xdr:row>
                <xdr:rowOff>19050</xdr:rowOff>
              </from>
              <to>
                <xdr:col>0</xdr:col>
                <xdr:colOff>450850</xdr:colOff>
                <xdr:row>14</xdr:row>
                <xdr:rowOff>222250</xdr:rowOff>
              </to>
            </anchor>
          </objectPr>
        </oleObject>
      </mc:Choice>
      <mc:Fallback>
        <oleObject progId="Equation" shapeId="1061" r:id="rId70"/>
      </mc:Fallback>
    </mc:AlternateContent>
    <mc:AlternateContent xmlns:mc="http://schemas.openxmlformats.org/markup-compatibility/2006">
      <mc:Choice Requires="x14">
        <oleObject progId="Equation" shapeId="1062" r:id="rId72">
          <objectPr defaultSize="0" r:id="rId73">
            <anchor moveWithCells="1">
              <from>
                <xdr:col>1</xdr:col>
                <xdr:colOff>298450</xdr:colOff>
                <xdr:row>14</xdr:row>
                <xdr:rowOff>19050</xdr:rowOff>
              </from>
              <to>
                <xdr:col>1</xdr:col>
                <xdr:colOff>450850</xdr:colOff>
                <xdr:row>14</xdr:row>
                <xdr:rowOff>222250</xdr:rowOff>
              </to>
            </anchor>
          </objectPr>
        </oleObject>
      </mc:Choice>
      <mc:Fallback>
        <oleObject progId="Equation" shapeId="1062" r:id="rId72"/>
      </mc:Fallback>
    </mc:AlternateContent>
    <mc:AlternateContent xmlns:mc="http://schemas.openxmlformats.org/markup-compatibility/2006">
      <mc:Choice Requires="x14">
        <oleObject progId="Equation" shapeId="1063" r:id="rId74">
          <objectPr defaultSize="0" r:id="rId75">
            <anchor moveWithCells="1">
              <from>
                <xdr:col>2</xdr:col>
                <xdr:colOff>285750</xdr:colOff>
                <xdr:row>14</xdr:row>
                <xdr:rowOff>19050</xdr:rowOff>
              </from>
              <to>
                <xdr:col>2</xdr:col>
                <xdr:colOff>469900</xdr:colOff>
                <xdr:row>14</xdr:row>
                <xdr:rowOff>222250</xdr:rowOff>
              </to>
            </anchor>
          </objectPr>
        </oleObject>
      </mc:Choice>
      <mc:Fallback>
        <oleObject progId="Equation" shapeId="1063" r:id="rId74"/>
      </mc:Fallback>
    </mc:AlternateContent>
    <mc:AlternateContent xmlns:mc="http://schemas.openxmlformats.org/markup-compatibility/2006">
      <mc:Choice Requires="x14">
        <oleObject progId="Equation" shapeId="1067" r:id="rId76">
          <objectPr defaultSize="0" r:id="rId35">
            <anchor moveWithCells="1">
              <from>
                <xdr:col>3</xdr:col>
                <xdr:colOff>165100</xdr:colOff>
                <xdr:row>14</xdr:row>
                <xdr:rowOff>19050</xdr:rowOff>
              </from>
              <to>
                <xdr:col>3</xdr:col>
                <xdr:colOff>457200</xdr:colOff>
                <xdr:row>14</xdr:row>
                <xdr:rowOff>222250</xdr:rowOff>
              </to>
            </anchor>
          </objectPr>
        </oleObject>
      </mc:Choice>
      <mc:Fallback>
        <oleObject progId="Equation" shapeId="1067" r:id="rId76"/>
      </mc:Fallback>
    </mc:AlternateContent>
    <mc:AlternateContent xmlns:mc="http://schemas.openxmlformats.org/markup-compatibility/2006">
      <mc:Choice Requires="x14">
        <oleObject progId="Equation" shapeId="1068" r:id="rId77">
          <objectPr defaultSize="0" r:id="rId37">
            <anchor moveWithCells="1">
              <from>
                <xdr:col>4</xdr:col>
                <xdr:colOff>165100</xdr:colOff>
                <xdr:row>14</xdr:row>
                <xdr:rowOff>19050</xdr:rowOff>
              </from>
              <to>
                <xdr:col>4</xdr:col>
                <xdr:colOff>469900</xdr:colOff>
                <xdr:row>14</xdr:row>
                <xdr:rowOff>222250</xdr:rowOff>
              </to>
            </anchor>
          </objectPr>
        </oleObject>
      </mc:Choice>
      <mc:Fallback>
        <oleObject progId="Equation" shapeId="1068" r:id="rId77"/>
      </mc:Fallback>
    </mc:AlternateContent>
    <mc:AlternateContent xmlns:mc="http://schemas.openxmlformats.org/markup-compatibility/2006">
      <mc:Choice Requires="x14">
        <oleObject progId="Equation" shapeId="1069" r:id="rId78">
          <objectPr defaultSize="0" r:id="rId39">
            <anchor moveWithCells="1">
              <from>
                <xdr:col>5</xdr:col>
                <xdr:colOff>146050</xdr:colOff>
                <xdr:row>14</xdr:row>
                <xdr:rowOff>19050</xdr:rowOff>
              </from>
              <to>
                <xdr:col>5</xdr:col>
                <xdr:colOff>438150</xdr:colOff>
                <xdr:row>14</xdr:row>
                <xdr:rowOff>222250</xdr:rowOff>
              </to>
            </anchor>
          </objectPr>
        </oleObject>
      </mc:Choice>
      <mc:Fallback>
        <oleObject progId="Equation" shapeId="1069" r:id="rId78"/>
      </mc:Fallback>
    </mc:AlternateContent>
    <mc:AlternateContent xmlns:mc="http://schemas.openxmlformats.org/markup-compatibility/2006">
      <mc:Choice Requires="x14">
        <oleObject progId="Equation" shapeId="1070" r:id="rId79">
          <objectPr defaultSize="0" r:id="rId41">
            <anchor moveWithCells="1">
              <from>
                <xdr:col>6</xdr:col>
                <xdr:colOff>165100</xdr:colOff>
                <xdr:row>14</xdr:row>
                <xdr:rowOff>19050</xdr:rowOff>
              </from>
              <to>
                <xdr:col>6</xdr:col>
                <xdr:colOff>469900</xdr:colOff>
                <xdr:row>14</xdr:row>
                <xdr:rowOff>222250</xdr:rowOff>
              </to>
            </anchor>
          </objectPr>
        </oleObject>
      </mc:Choice>
      <mc:Fallback>
        <oleObject progId="Equation" shapeId="1070" r:id="rId79"/>
      </mc:Fallback>
    </mc:AlternateContent>
    <mc:AlternateContent xmlns:mc="http://schemas.openxmlformats.org/markup-compatibility/2006">
      <mc:Choice Requires="x14">
        <oleObject progId="Equation" shapeId="1071" r:id="rId80">
          <objectPr defaultSize="0" r:id="rId43">
            <anchor moveWithCells="1">
              <from>
                <xdr:col>7</xdr:col>
                <xdr:colOff>222250</xdr:colOff>
                <xdr:row>14</xdr:row>
                <xdr:rowOff>19050</xdr:rowOff>
              </from>
              <to>
                <xdr:col>7</xdr:col>
                <xdr:colOff>514350</xdr:colOff>
                <xdr:row>14</xdr:row>
                <xdr:rowOff>222250</xdr:rowOff>
              </to>
            </anchor>
          </objectPr>
        </oleObject>
      </mc:Choice>
      <mc:Fallback>
        <oleObject progId="Equation" shapeId="1071" r:id="rId80"/>
      </mc:Fallback>
    </mc:AlternateContent>
    <mc:AlternateContent xmlns:mc="http://schemas.openxmlformats.org/markup-compatibility/2006">
      <mc:Choice Requires="x14">
        <oleObject progId="Equation" shapeId="1072" r:id="rId81">
          <objectPr defaultSize="0" r:id="rId45">
            <anchor moveWithCells="1">
              <from>
                <xdr:col>8</xdr:col>
                <xdr:colOff>165100</xdr:colOff>
                <xdr:row>14</xdr:row>
                <xdr:rowOff>19050</xdr:rowOff>
              </from>
              <to>
                <xdr:col>8</xdr:col>
                <xdr:colOff>469900</xdr:colOff>
                <xdr:row>14</xdr:row>
                <xdr:rowOff>222250</xdr:rowOff>
              </to>
            </anchor>
          </objectPr>
        </oleObject>
      </mc:Choice>
      <mc:Fallback>
        <oleObject progId="Equation" shapeId="1072" r:id="rId81"/>
      </mc:Fallback>
    </mc:AlternateContent>
    <mc:AlternateContent xmlns:mc="http://schemas.openxmlformats.org/markup-compatibility/2006">
      <mc:Choice Requires="x14">
        <oleObject progId="Equation" shapeId="1073" r:id="rId82">
          <objectPr defaultSize="0" r:id="rId83">
            <anchor moveWithCells="1">
              <from>
                <xdr:col>1</xdr:col>
                <xdr:colOff>209550</xdr:colOff>
                <xdr:row>21</xdr:row>
                <xdr:rowOff>31750</xdr:rowOff>
              </from>
              <to>
                <xdr:col>1</xdr:col>
                <xdr:colOff>400050</xdr:colOff>
                <xdr:row>21</xdr:row>
                <xdr:rowOff>209550</xdr:rowOff>
              </to>
            </anchor>
          </objectPr>
        </oleObject>
      </mc:Choice>
      <mc:Fallback>
        <oleObject progId="Equation" shapeId="1073" r:id="rId82"/>
      </mc:Fallback>
    </mc:AlternateContent>
    <mc:AlternateContent xmlns:mc="http://schemas.openxmlformats.org/markup-compatibility/2006">
      <mc:Choice Requires="x14">
        <oleObject progId="Equation" shapeId="1074" r:id="rId84">
          <objectPr defaultSize="0" r:id="rId85">
            <anchor moveWithCells="1">
              <from>
                <xdr:col>4</xdr:col>
                <xdr:colOff>127000</xdr:colOff>
                <xdr:row>21</xdr:row>
                <xdr:rowOff>31750</xdr:rowOff>
              </from>
              <to>
                <xdr:col>4</xdr:col>
                <xdr:colOff>438150</xdr:colOff>
                <xdr:row>21</xdr:row>
                <xdr:rowOff>209550</xdr:rowOff>
              </to>
            </anchor>
          </objectPr>
        </oleObject>
      </mc:Choice>
      <mc:Fallback>
        <oleObject progId="Equation" shapeId="1074" r:id="rId84"/>
      </mc:Fallback>
    </mc:AlternateContent>
    <mc:AlternateContent xmlns:mc="http://schemas.openxmlformats.org/markup-compatibility/2006">
      <mc:Choice Requires="x14">
        <oleObject progId="Equation" shapeId="1075" r:id="rId86">
          <objectPr defaultSize="0" r:id="rId87">
            <anchor moveWithCells="1">
              <from>
                <xdr:col>0</xdr:col>
                <xdr:colOff>260350</xdr:colOff>
                <xdr:row>22</xdr:row>
                <xdr:rowOff>31750</xdr:rowOff>
              </from>
              <to>
                <xdr:col>0</xdr:col>
                <xdr:colOff>419100</xdr:colOff>
                <xdr:row>22</xdr:row>
                <xdr:rowOff>228600</xdr:rowOff>
              </to>
            </anchor>
          </objectPr>
        </oleObject>
      </mc:Choice>
      <mc:Fallback>
        <oleObject progId="Equation" shapeId="1075" r:id="rId86"/>
      </mc:Fallback>
    </mc:AlternateContent>
    <mc:AlternateContent xmlns:mc="http://schemas.openxmlformats.org/markup-compatibility/2006">
      <mc:Choice Requires="x14">
        <oleObject progId="Equation" shapeId="1076" r:id="rId88">
          <objectPr defaultSize="0" r:id="rId63">
            <anchor moveWithCells="1">
              <from>
                <xdr:col>1</xdr:col>
                <xdr:colOff>152400</xdr:colOff>
                <xdr:row>22</xdr:row>
                <xdr:rowOff>38100</xdr:rowOff>
              </from>
              <to>
                <xdr:col>1</xdr:col>
                <xdr:colOff>304800</xdr:colOff>
                <xdr:row>22</xdr:row>
                <xdr:rowOff>241300</xdr:rowOff>
              </to>
            </anchor>
          </objectPr>
        </oleObject>
      </mc:Choice>
      <mc:Fallback>
        <oleObject progId="Equation" shapeId="1076" r:id="rId88"/>
      </mc:Fallback>
    </mc:AlternateContent>
    <mc:AlternateContent xmlns:mc="http://schemas.openxmlformats.org/markup-compatibility/2006">
      <mc:Choice Requires="x14">
        <oleObject progId="Equation" shapeId="1077" r:id="rId89">
          <objectPr defaultSize="0" r:id="rId90">
            <anchor moveWithCells="1">
              <from>
                <xdr:col>2</xdr:col>
                <xdr:colOff>260350</xdr:colOff>
                <xdr:row>22</xdr:row>
                <xdr:rowOff>31750</xdr:rowOff>
              </from>
              <to>
                <xdr:col>2</xdr:col>
                <xdr:colOff>419100</xdr:colOff>
                <xdr:row>22</xdr:row>
                <xdr:rowOff>228600</xdr:rowOff>
              </to>
            </anchor>
          </objectPr>
        </oleObject>
      </mc:Choice>
      <mc:Fallback>
        <oleObject progId="Equation" shapeId="1077" r:id="rId89"/>
      </mc:Fallback>
    </mc:AlternateContent>
    <mc:AlternateContent xmlns:mc="http://schemas.openxmlformats.org/markup-compatibility/2006">
      <mc:Choice Requires="x14">
        <oleObject progId="Equation" shapeId="1078" r:id="rId91">
          <objectPr defaultSize="0" r:id="rId47">
            <anchor moveWithCells="1">
              <from>
                <xdr:col>3</xdr:col>
                <xdr:colOff>133350</xdr:colOff>
                <xdr:row>22</xdr:row>
                <xdr:rowOff>19050</xdr:rowOff>
              </from>
              <to>
                <xdr:col>3</xdr:col>
                <xdr:colOff>450850</xdr:colOff>
                <xdr:row>22</xdr:row>
                <xdr:rowOff>222250</xdr:rowOff>
              </to>
            </anchor>
          </objectPr>
        </oleObject>
      </mc:Choice>
      <mc:Fallback>
        <oleObject progId="Equation" shapeId="1078" r:id="rId91"/>
      </mc:Fallback>
    </mc:AlternateContent>
    <mc:AlternateContent xmlns:mc="http://schemas.openxmlformats.org/markup-compatibility/2006">
      <mc:Choice Requires="x14">
        <oleObject progId="Equation" shapeId="1079" r:id="rId92">
          <objectPr defaultSize="0" r:id="rId49">
            <anchor moveWithCells="1">
              <from>
                <xdr:col>4</xdr:col>
                <xdr:colOff>107950</xdr:colOff>
                <xdr:row>22</xdr:row>
                <xdr:rowOff>19050</xdr:rowOff>
              </from>
              <to>
                <xdr:col>4</xdr:col>
                <xdr:colOff>419100</xdr:colOff>
                <xdr:row>22</xdr:row>
                <xdr:rowOff>222250</xdr:rowOff>
              </to>
            </anchor>
          </objectPr>
        </oleObject>
      </mc:Choice>
      <mc:Fallback>
        <oleObject progId="Equation" shapeId="1079" r:id="rId92"/>
      </mc:Fallback>
    </mc:AlternateContent>
    <mc:AlternateContent xmlns:mc="http://schemas.openxmlformats.org/markup-compatibility/2006">
      <mc:Choice Requires="x14">
        <oleObject progId="Equation" shapeId="1080" r:id="rId93">
          <objectPr defaultSize="0" r:id="rId51">
            <anchor moveWithCells="1">
              <from>
                <xdr:col>5</xdr:col>
                <xdr:colOff>95250</xdr:colOff>
                <xdr:row>22</xdr:row>
                <xdr:rowOff>31750</xdr:rowOff>
              </from>
              <to>
                <xdr:col>5</xdr:col>
                <xdr:colOff>412750</xdr:colOff>
                <xdr:row>22</xdr:row>
                <xdr:rowOff>228600</xdr:rowOff>
              </to>
            </anchor>
          </objectPr>
        </oleObject>
      </mc:Choice>
      <mc:Fallback>
        <oleObject progId="Equation" shapeId="1080" r:id="rId93"/>
      </mc:Fallback>
    </mc:AlternateContent>
    <mc:AlternateContent xmlns:mc="http://schemas.openxmlformats.org/markup-compatibility/2006">
      <mc:Choice Requires="x14">
        <oleObject progId="Equation" shapeId="1081" r:id="rId94">
          <objectPr defaultSize="0" r:id="rId95">
            <anchor moveWithCells="1">
              <from>
                <xdr:col>6</xdr:col>
                <xdr:colOff>50800</xdr:colOff>
                <xdr:row>21</xdr:row>
                <xdr:rowOff>31750</xdr:rowOff>
              </from>
              <to>
                <xdr:col>6</xdr:col>
                <xdr:colOff>698500</xdr:colOff>
                <xdr:row>22</xdr:row>
                <xdr:rowOff>260350</xdr:rowOff>
              </to>
            </anchor>
          </objectPr>
        </oleObject>
      </mc:Choice>
      <mc:Fallback>
        <oleObject progId="Equation" shapeId="1081" r:id="rId94"/>
      </mc:Fallback>
    </mc:AlternateContent>
    <mc:AlternateContent xmlns:mc="http://schemas.openxmlformats.org/markup-compatibility/2006">
      <mc:Choice Requires="x14">
        <oleObject progId="Equation" shapeId="1083" r:id="rId96">
          <objectPr defaultSize="0" r:id="rId97">
            <anchor moveWithCells="1">
              <from>
                <xdr:col>8</xdr:col>
                <xdr:colOff>228600</xdr:colOff>
                <xdr:row>21</xdr:row>
                <xdr:rowOff>165100</xdr:rowOff>
              </from>
              <to>
                <xdr:col>8</xdr:col>
                <xdr:colOff>342900</xdr:colOff>
                <xdr:row>21</xdr:row>
                <xdr:rowOff>342900</xdr:rowOff>
              </to>
            </anchor>
          </objectPr>
        </oleObject>
      </mc:Choice>
      <mc:Fallback>
        <oleObject progId="Equation" shapeId="1083" r:id="rId96"/>
      </mc:Fallback>
    </mc:AlternateContent>
    <mc:AlternateContent xmlns:mc="http://schemas.openxmlformats.org/markup-compatibility/2006">
      <mc:Choice Requires="x14">
        <oleObject progId="Equation" shapeId="1085" r:id="rId98">
          <objectPr defaultSize="0" r:id="rId97">
            <anchor moveWithCells="1">
              <from>
                <xdr:col>1</xdr:col>
                <xdr:colOff>171450</xdr:colOff>
                <xdr:row>31</xdr:row>
                <xdr:rowOff>228600</xdr:rowOff>
              </from>
              <to>
                <xdr:col>1</xdr:col>
                <xdr:colOff>285750</xdr:colOff>
                <xdr:row>31</xdr:row>
                <xdr:rowOff>412750</xdr:rowOff>
              </to>
            </anchor>
          </objectPr>
        </oleObject>
      </mc:Choice>
      <mc:Fallback>
        <oleObject progId="Equation" shapeId="1085" r:id="rId98"/>
      </mc:Fallback>
    </mc:AlternateContent>
    <mc:AlternateContent xmlns:mc="http://schemas.openxmlformats.org/markup-compatibility/2006">
      <mc:Choice Requires="x14">
        <oleObject progId="Equation" shapeId="1086" r:id="rId99">
          <objectPr defaultSize="0" r:id="rId100">
            <anchor moveWithCells="1">
              <from>
                <xdr:col>2</xdr:col>
                <xdr:colOff>31750</xdr:colOff>
                <xdr:row>31</xdr:row>
                <xdr:rowOff>152400</xdr:rowOff>
              </from>
              <to>
                <xdr:col>2</xdr:col>
                <xdr:colOff>755650</xdr:colOff>
                <xdr:row>31</xdr:row>
                <xdr:rowOff>584200</xdr:rowOff>
              </to>
            </anchor>
          </objectPr>
        </oleObject>
      </mc:Choice>
      <mc:Fallback>
        <oleObject progId="Equation" shapeId="1086" r:id="rId99"/>
      </mc:Fallback>
    </mc:AlternateContent>
    <mc:AlternateContent xmlns:mc="http://schemas.openxmlformats.org/markup-compatibility/2006">
      <mc:Choice Requires="x14">
        <oleObject progId="Equation" shapeId="1087" r:id="rId101">
          <objectPr defaultSize="0" r:id="rId102">
            <anchor moveWithCells="1">
              <from>
                <xdr:col>3</xdr:col>
                <xdr:colOff>12700</xdr:colOff>
                <xdr:row>31</xdr:row>
                <xdr:rowOff>76200</xdr:rowOff>
              </from>
              <to>
                <xdr:col>4</xdr:col>
                <xdr:colOff>762000</xdr:colOff>
                <xdr:row>31</xdr:row>
                <xdr:rowOff>660400</xdr:rowOff>
              </to>
            </anchor>
          </objectPr>
        </oleObject>
      </mc:Choice>
      <mc:Fallback>
        <oleObject progId="Equation" shapeId="1087" r:id="rId101"/>
      </mc:Fallback>
    </mc:AlternateContent>
    <mc:AlternateContent xmlns:mc="http://schemas.openxmlformats.org/markup-compatibility/2006">
      <mc:Choice Requires="x14">
        <oleObject progId="Equation" shapeId="1088" r:id="rId103">
          <objectPr defaultSize="0" r:id="rId104">
            <anchor moveWithCells="1">
              <from>
                <xdr:col>3</xdr:col>
                <xdr:colOff>152400</xdr:colOff>
                <xdr:row>32</xdr:row>
                <xdr:rowOff>0</xdr:rowOff>
              </from>
              <to>
                <xdr:col>3</xdr:col>
                <xdr:colOff>381000</xdr:colOff>
                <xdr:row>32</xdr:row>
                <xdr:rowOff>203200</xdr:rowOff>
              </to>
            </anchor>
          </objectPr>
        </oleObject>
      </mc:Choice>
      <mc:Fallback>
        <oleObject progId="Equation" shapeId="1088" r:id="rId103"/>
      </mc:Fallback>
    </mc:AlternateContent>
    <mc:AlternateContent xmlns:mc="http://schemas.openxmlformats.org/markup-compatibility/2006">
      <mc:Choice Requires="x14">
        <oleObject progId="Equation" shapeId="1089" r:id="rId105">
          <objectPr defaultSize="0" r:id="rId106">
            <anchor moveWithCells="1">
              <from>
                <xdr:col>4</xdr:col>
                <xdr:colOff>127000</xdr:colOff>
                <xdr:row>32</xdr:row>
                <xdr:rowOff>0</xdr:rowOff>
              </from>
              <to>
                <xdr:col>4</xdr:col>
                <xdr:colOff>361950</xdr:colOff>
                <xdr:row>32</xdr:row>
                <xdr:rowOff>203200</xdr:rowOff>
              </to>
            </anchor>
          </objectPr>
        </oleObject>
      </mc:Choice>
      <mc:Fallback>
        <oleObject progId="Equation" shapeId="1089" r:id="rId105"/>
      </mc:Fallback>
    </mc:AlternateContent>
    <mc:AlternateContent xmlns:mc="http://schemas.openxmlformats.org/markup-compatibility/2006">
      <mc:Choice Requires="x14">
        <oleObject progId="Equation" shapeId="1090" r:id="rId107">
          <objectPr defaultSize="0" r:id="rId108">
            <anchor moveWithCells="1">
              <from>
                <xdr:col>7</xdr:col>
                <xdr:colOff>19050</xdr:colOff>
                <xdr:row>21</xdr:row>
                <xdr:rowOff>69850</xdr:rowOff>
              </from>
              <to>
                <xdr:col>7</xdr:col>
                <xdr:colOff>742950</xdr:colOff>
                <xdr:row>22</xdr:row>
                <xdr:rowOff>114300</xdr:rowOff>
              </to>
            </anchor>
          </objectPr>
        </oleObject>
      </mc:Choice>
      <mc:Fallback>
        <oleObject progId="Equation" shapeId="1090" r:id="rId107"/>
      </mc:Fallback>
    </mc:AlternateContent>
    <mc:AlternateContent xmlns:mc="http://schemas.openxmlformats.org/markup-compatibility/2006">
      <mc:Choice Requires="x14">
        <oleObject progId="Equation" shapeId="1172" r:id="rId109">
          <objectPr defaultSize="0" r:id="rId108">
            <anchor moveWithCells="1">
              <from>
                <xdr:col>0</xdr:col>
                <xdr:colOff>19050</xdr:colOff>
                <xdr:row>31</xdr:row>
                <xdr:rowOff>69850</xdr:rowOff>
              </from>
              <to>
                <xdr:col>0</xdr:col>
                <xdr:colOff>742950</xdr:colOff>
                <xdr:row>31</xdr:row>
                <xdr:rowOff>527050</xdr:rowOff>
              </to>
            </anchor>
          </objectPr>
        </oleObject>
      </mc:Choice>
      <mc:Fallback>
        <oleObject progId="Equation" shapeId="1172" r:id="rId109"/>
      </mc:Fallback>
    </mc:AlternateContent>
    <mc:AlternateContent xmlns:mc="http://schemas.openxmlformats.org/markup-compatibility/2006">
      <mc:Choice Requires="x14">
        <oleObject progId="Equation" shapeId="1293" r:id="rId110">
          <objectPr defaultSize="0" r:id="rId111">
            <anchor moveWithCells="1">
              <from>
                <xdr:col>4</xdr:col>
                <xdr:colOff>50800</xdr:colOff>
                <xdr:row>2</xdr:row>
                <xdr:rowOff>412750</xdr:rowOff>
              </from>
              <to>
                <xdr:col>4</xdr:col>
                <xdr:colOff>381000</xdr:colOff>
                <xdr:row>2</xdr:row>
                <xdr:rowOff>730250</xdr:rowOff>
              </to>
            </anchor>
          </objectPr>
        </oleObject>
      </mc:Choice>
      <mc:Fallback>
        <oleObject progId="Equation" shapeId="1293" r:id="rId110"/>
      </mc:Fallback>
    </mc:AlternateContent>
    <mc:AlternateContent xmlns:mc="http://schemas.openxmlformats.org/markup-compatibility/2006">
      <mc:Choice Requires="x14">
        <oleObject progId="Equation" shapeId="1294" r:id="rId112">
          <objectPr defaultSize="0" r:id="rId113">
            <anchor moveWithCells="1">
              <from>
                <xdr:col>6</xdr:col>
                <xdr:colOff>0</xdr:colOff>
                <xdr:row>2</xdr:row>
                <xdr:rowOff>476250</xdr:rowOff>
              </from>
              <to>
                <xdr:col>6</xdr:col>
                <xdr:colOff>406400</xdr:colOff>
                <xdr:row>2</xdr:row>
                <xdr:rowOff>793750</xdr:rowOff>
              </to>
            </anchor>
          </objectPr>
        </oleObject>
      </mc:Choice>
      <mc:Fallback>
        <oleObject progId="Equation" shapeId="1294" r:id="rId112"/>
      </mc:Fallback>
    </mc:AlternateContent>
    <mc:AlternateContent xmlns:mc="http://schemas.openxmlformats.org/markup-compatibility/2006">
      <mc:Choice Requires="x14">
        <oleObject progId="Equation" shapeId="1329" r:id="rId114">
          <objectPr defaultSize="0" r:id="rId115">
            <anchor moveWithCells="1">
              <from>
                <xdr:col>2</xdr:col>
                <xdr:colOff>723900</xdr:colOff>
                <xdr:row>2</xdr:row>
                <xdr:rowOff>241300</xdr:rowOff>
              </from>
              <to>
                <xdr:col>3</xdr:col>
                <xdr:colOff>146050</xdr:colOff>
                <xdr:row>2</xdr:row>
                <xdr:rowOff>495300</xdr:rowOff>
              </to>
            </anchor>
          </objectPr>
        </oleObject>
      </mc:Choice>
      <mc:Fallback>
        <oleObject progId="Equation" shapeId="1329" r:id="rId114"/>
      </mc:Fallback>
    </mc:AlternateContent>
    <mc:AlternateContent xmlns:mc="http://schemas.openxmlformats.org/markup-compatibility/2006">
      <mc:Choice Requires="x14">
        <oleObject progId="Equation" shapeId="1330" r:id="rId116">
          <objectPr defaultSize="0" r:id="rId117">
            <anchor moveWithCells="1">
              <from>
                <xdr:col>2</xdr:col>
                <xdr:colOff>704850</xdr:colOff>
                <xdr:row>2</xdr:row>
                <xdr:rowOff>1079500</xdr:rowOff>
              </from>
              <to>
                <xdr:col>3</xdr:col>
                <xdr:colOff>95250</xdr:colOff>
                <xdr:row>2</xdr:row>
                <xdr:rowOff>1327150</xdr:rowOff>
              </to>
            </anchor>
          </objectPr>
        </oleObject>
      </mc:Choice>
      <mc:Fallback>
        <oleObject progId="Equation" shapeId="1330" r:id="rId116"/>
      </mc:Fallback>
    </mc:AlternateContent>
    <mc:AlternateContent xmlns:mc="http://schemas.openxmlformats.org/markup-compatibility/2006">
      <mc:Choice Requires="x14">
        <oleObject progId="Equation" shapeId="1331" r:id="rId118">
          <objectPr defaultSize="0" r:id="rId119">
            <anchor moveWithCells="1">
              <from>
                <xdr:col>2</xdr:col>
                <xdr:colOff>698500</xdr:colOff>
                <xdr:row>2</xdr:row>
                <xdr:rowOff>1860550</xdr:rowOff>
              </from>
              <to>
                <xdr:col>3</xdr:col>
                <xdr:colOff>114300</xdr:colOff>
                <xdr:row>2</xdr:row>
                <xdr:rowOff>2114550</xdr:rowOff>
              </to>
            </anchor>
          </objectPr>
        </oleObject>
      </mc:Choice>
      <mc:Fallback>
        <oleObject progId="Equation" shapeId="1331" r:id="rId118"/>
      </mc:Fallback>
    </mc:AlternateContent>
    <mc:AlternateContent xmlns:mc="http://schemas.openxmlformats.org/markup-compatibility/2006">
      <mc:Choice Requires="x14">
        <oleObject progId="Equation" shapeId="1333" r:id="rId120">
          <objectPr defaultSize="0" r:id="rId121">
            <anchor moveWithCells="1">
              <from>
                <xdr:col>5</xdr:col>
                <xdr:colOff>457200</xdr:colOff>
                <xdr:row>2</xdr:row>
                <xdr:rowOff>927100</xdr:rowOff>
              </from>
              <to>
                <xdr:col>5</xdr:col>
                <xdr:colOff>622300</xdr:colOff>
                <xdr:row>2</xdr:row>
                <xdr:rowOff>1200150</xdr:rowOff>
              </to>
            </anchor>
          </objectPr>
        </oleObject>
      </mc:Choice>
      <mc:Fallback>
        <oleObject progId="Equation" shapeId="1333" r:id="rId120"/>
      </mc:Fallback>
    </mc:AlternateContent>
    <mc:AlternateContent xmlns:mc="http://schemas.openxmlformats.org/markup-compatibility/2006">
      <mc:Choice Requires="x14">
        <oleObject progId="Equation" shapeId="1334" r:id="rId122">
          <objectPr defaultSize="0" r:id="rId123">
            <anchor moveWithCells="1">
              <from>
                <xdr:col>5</xdr:col>
                <xdr:colOff>469900</xdr:colOff>
                <xdr:row>2</xdr:row>
                <xdr:rowOff>2032000</xdr:rowOff>
              </from>
              <to>
                <xdr:col>6</xdr:col>
                <xdr:colOff>19050</xdr:colOff>
                <xdr:row>2</xdr:row>
                <xdr:rowOff>2305050</xdr:rowOff>
              </to>
            </anchor>
          </objectPr>
        </oleObject>
      </mc:Choice>
      <mc:Fallback>
        <oleObject progId="Equation" shapeId="1334" r:id="rId122"/>
      </mc:Fallback>
    </mc:AlternateContent>
    <mc:AlternateContent xmlns:mc="http://schemas.openxmlformats.org/markup-compatibility/2006">
      <mc:Choice Requires="x14">
        <oleObject progId="Equation" shapeId="1335" r:id="rId124">
          <objectPr defaultSize="0" r:id="rId125">
            <anchor moveWithCells="1">
              <from>
                <xdr:col>5</xdr:col>
                <xdr:colOff>285750</xdr:colOff>
                <xdr:row>2</xdr:row>
                <xdr:rowOff>152400</xdr:rowOff>
              </from>
              <to>
                <xdr:col>5</xdr:col>
                <xdr:colOff>501650</xdr:colOff>
                <xdr:row>2</xdr:row>
                <xdr:rowOff>469900</xdr:rowOff>
              </to>
            </anchor>
          </objectPr>
        </oleObject>
      </mc:Choice>
      <mc:Fallback>
        <oleObject progId="Equation" shapeId="1335" r:id="rId124"/>
      </mc:Fallback>
    </mc:AlternateContent>
    <mc:AlternateContent xmlns:mc="http://schemas.openxmlformats.org/markup-compatibility/2006">
      <mc:Choice Requires="x14">
        <oleObject progId="Equation.DSMT4" shapeId="1709" r:id="rId126">
          <objectPr defaultSize="0" autoPict="0" r:id="rId127">
            <anchor moveWithCells="1" sizeWithCells="1">
              <from>
                <xdr:col>6</xdr:col>
                <xdr:colOff>82550</xdr:colOff>
                <xdr:row>2</xdr:row>
                <xdr:rowOff>3117850</xdr:rowOff>
              </from>
              <to>
                <xdr:col>8</xdr:col>
                <xdr:colOff>450850</xdr:colOff>
                <xdr:row>4</xdr:row>
                <xdr:rowOff>254000</xdr:rowOff>
              </to>
            </anchor>
          </objectPr>
        </oleObject>
      </mc:Choice>
      <mc:Fallback>
        <oleObject progId="Equation.DSMT4" shapeId="1709" r:id="rId126"/>
      </mc:Fallback>
    </mc:AlternateContent>
    <mc:AlternateContent xmlns:mc="http://schemas.openxmlformats.org/markup-compatibility/2006">
      <mc:Choice Requires="x14">
        <oleObject progId="Equation.DSMT4" shapeId="1741" r:id="rId128">
          <objectPr defaultSize="0" autoPict="0" r:id="rId129">
            <anchor moveWithCells="1" sizeWithCells="1">
              <from>
                <xdr:col>9</xdr:col>
                <xdr:colOff>120650</xdr:colOff>
                <xdr:row>2</xdr:row>
                <xdr:rowOff>3168650</xdr:rowOff>
              </from>
              <to>
                <xdr:col>12</xdr:col>
                <xdr:colOff>260350</xdr:colOff>
                <xdr:row>4</xdr:row>
                <xdr:rowOff>196850</xdr:rowOff>
              </to>
            </anchor>
          </objectPr>
        </oleObject>
      </mc:Choice>
      <mc:Fallback>
        <oleObject progId="Equation.DSMT4" shapeId="1741" r:id="rId12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Marusha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Backprop</dc:title>
  <dc:creator>Dr. I. Jordanov</dc:creator>
  <cp:lastModifiedBy>Frank Lin</cp:lastModifiedBy>
  <cp:lastPrinted>2012-02-22T15:11:23Z</cp:lastPrinted>
  <dcterms:created xsi:type="dcterms:W3CDTF">2002-02-10T15:51:04Z</dcterms:created>
  <dcterms:modified xsi:type="dcterms:W3CDTF">2026-02-18T12:27:00Z</dcterms:modified>
</cp:coreProperties>
</file>